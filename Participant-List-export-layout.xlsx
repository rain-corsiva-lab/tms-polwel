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Operations\1. Courses\2. For SPF and HT Officers\1. Associate Trainers\Matthew Yap\Sun Tzu Art of War - 30 Ways to Transform\"/>
    </mc:Choice>
  </mc:AlternateContent>
  <xr:revisionPtr revIDLastSave="0" documentId="13_ncr:1_{8B8F26BC-703A-432C-8126-11699F497E04}" xr6:coauthVersionLast="47" xr6:coauthVersionMax="47" xr10:uidLastSave="{00000000-0000-0000-0000-000000000000}"/>
  <bookViews>
    <workbookView xWindow="28680" yWindow="-120" windowWidth="29040" windowHeight="15720" activeTab="4" xr2:uid="{A87A7D67-5BEE-49B7-ABEB-A2AA4864D2FB}"/>
  </bookViews>
  <sheets>
    <sheet name="5Jun25" sheetId="30" r:id="rId1"/>
    <sheet name="20Aug25" sheetId="31" r:id="rId2"/>
    <sheet name="29Oct25" sheetId="32" r:id="rId3"/>
    <sheet name="3Dec25" sheetId="33" r:id="rId4"/>
    <sheet name="4Feb26" sheetId="34" r:id="rId5"/>
  </sheets>
  <definedNames>
    <definedName name="_xlnm._FilterDatabase" localSheetId="1" hidden="1">'20Aug25'!$A$1:$Q$20</definedName>
    <definedName name="_xlnm._FilterDatabase" localSheetId="3" hidden="1">'3Dec25'!$A$1:$P$12</definedName>
    <definedName name="_xlnm._FilterDatabase" localSheetId="4" hidden="1">'4Feb26'!$A$1:$P$12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34" l="1"/>
  <c r="B13" i="34"/>
  <c r="G13" i="33"/>
  <c r="B13" i="33"/>
  <c r="H24" i="32"/>
  <c r="B24" i="32"/>
  <c r="B24" i="31"/>
  <c r="H24" i="31"/>
  <c r="H27" i="30"/>
  <c r="B27" i="30"/>
</calcChain>
</file>

<file path=xl/sharedStrings.xml><?xml version="1.0" encoding="utf-8"?>
<sst xmlns="http://schemas.openxmlformats.org/spreadsheetml/2006/main" count="1413" uniqueCount="492">
  <si>
    <t>Contact Number</t>
  </si>
  <si>
    <t>Training Officer's Name</t>
  </si>
  <si>
    <t>Training Officer's Email</t>
  </si>
  <si>
    <t>Department</t>
  </si>
  <si>
    <t>Fees before GST</t>
  </si>
  <si>
    <t>Payment Mode</t>
  </si>
  <si>
    <t>Retiring Officer?</t>
  </si>
  <si>
    <t>SPF Email Address</t>
  </si>
  <si>
    <t>Designation</t>
  </si>
  <si>
    <t>Fees Remarks</t>
  </si>
  <si>
    <t>Business Unit Number</t>
  </si>
  <si>
    <t>Name</t>
  </si>
  <si>
    <t xml:space="preserve">Training Officer's Phone Number </t>
  </si>
  <si>
    <t>Remarks</t>
  </si>
  <si>
    <t>Total</t>
  </si>
  <si>
    <t>ULTF</t>
  </si>
  <si>
    <t>PO No. / Payment Advice</t>
  </si>
  <si>
    <t>Invoice No.</t>
  </si>
  <si>
    <t>Receipt No.</t>
  </si>
  <si>
    <t>WAITLIST</t>
  </si>
  <si>
    <t>WITHDRAWN</t>
  </si>
  <si>
    <t>No</t>
  </si>
  <si>
    <t>MHA24</t>
  </si>
  <si>
    <t>Neo Wee Tiong</t>
  </si>
  <si>
    <t>NEO_Wee_Tiong@spf.gov.sg</t>
  </si>
  <si>
    <t>9762 9765</t>
  </si>
  <si>
    <t>POLWEL</t>
  </si>
  <si>
    <t>Company-sponsored</t>
  </si>
  <si>
    <t>-</t>
  </si>
  <si>
    <t>Jonathan Lee</t>
  </si>
  <si>
    <t>Assistant Manager, AAO</t>
  </si>
  <si>
    <t>jonathan_lee@polwel.org.sg</t>
  </si>
  <si>
    <t>8138 6630</t>
  </si>
  <si>
    <t>Keeve nominated 5May</t>
  </si>
  <si>
    <t>Clementi Division</t>
  </si>
  <si>
    <t xml:space="preserve">Chief Investigation Officer </t>
  </si>
  <si>
    <t>Eddie_tan@spf.gov.sg</t>
  </si>
  <si>
    <t>Ng Jun Wen</t>
  </si>
  <si>
    <t>Clementi Division / Singapore Police Force</t>
  </si>
  <si>
    <t>Chief Investigation Officer</t>
  </si>
  <si>
    <t>NG_Jun_Wen@spf.gov.sg</t>
  </si>
  <si>
    <t>UP530. 5% Group Discount</t>
  </si>
  <si>
    <t>Goh Mia Khiang</t>
  </si>
  <si>
    <t xml:space="preserve">Clementi Division </t>
  </si>
  <si>
    <t xml:space="preserve">Officer-In-charge Specialized Crime Team </t>
  </si>
  <si>
    <t>Goh_Mia_Khiang@Spf.gov.sg</t>
  </si>
  <si>
    <t>Tan Chia Wei Eddie</t>
  </si>
  <si>
    <t>Andy Tan Yong Hao</t>
  </si>
  <si>
    <t>D Div / JE NPC</t>
  </si>
  <si>
    <t>AO</t>
  </si>
  <si>
    <t>Andy_yh_tan@spf.gov.sg</t>
  </si>
  <si>
    <t>D / JE CPU</t>
  </si>
  <si>
    <t>CPO</t>
  </si>
  <si>
    <t>Zhiling_NG@spf.gov.sg</t>
  </si>
  <si>
    <t>Ng Zhiling Regina</t>
  </si>
  <si>
    <t>Online reg 8May + email approval sent</t>
  </si>
  <si>
    <t>Wilson Tang Zhi Yu</t>
  </si>
  <si>
    <t>Delta Division</t>
  </si>
  <si>
    <t>DIB</t>
  </si>
  <si>
    <t>wilson_zy_tang@spf.gov.sg</t>
  </si>
  <si>
    <t>Ow Yong Yew Wui Vincent</t>
  </si>
  <si>
    <t>Clementi Division/IB</t>
  </si>
  <si>
    <t>DOC</t>
  </si>
  <si>
    <t>Vincent_owyong@spf.gov.sg</t>
  </si>
  <si>
    <t>Seet Meng Hwee Melvin</t>
  </si>
  <si>
    <t>Seet_Meng_Hwee@spf.gov.sg</t>
  </si>
  <si>
    <t>Yeo Kiat Liang</t>
  </si>
  <si>
    <t>Yeo_Kiat_Liang@spf.gov.sg</t>
  </si>
  <si>
    <t>Online reg 8May</t>
  </si>
  <si>
    <t>Sng Guang Ming Bryan</t>
  </si>
  <si>
    <t>OC Team</t>
  </si>
  <si>
    <t>Sng_Guang_Ming@spf.gov.sg</t>
  </si>
  <si>
    <t>Online reg 9May</t>
  </si>
  <si>
    <t>Koh Yu Shan, Cyndi</t>
  </si>
  <si>
    <t>Tanglin Division / Investigation Branch</t>
  </si>
  <si>
    <t>Deputy Head Investigation</t>
  </si>
  <si>
    <t>cyndi_koh@spf.gov.sg</t>
  </si>
  <si>
    <t>Lin Boyuan</t>
  </si>
  <si>
    <t>lin_boyuan@spf.gov.sg</t>
  </si>
  <si>
    <t>Huang Shuhua</t>
  </si>
  <si>
    <t>huang_shuhua@spf.gov.sg</t>
  </si>
  <si>
    <t>UP530.</t>
  </si>
  <si>
    <t>MHA25</t>
  </si>
  <si>
    <t>Chua Hanrong Wilson</t>
  </si>
  <si>
    <t>wilson_hr_chua@spf.gov.sg</t>
  </si>
  <si>
    <t>Grp reg form rcv 9May</t>
  </si>
  <si>
    <t>PO Number: 6700004606</t>
  </si>
  <si>
    <t xml:space="preserve">Pek Keng Leong </t>
  </si>
  <si>
    <t>Clementi Division / ERT</t>
  </si>
  <si>
    <t xml:space="preserve">Team leader </t>
  </si>
  <si>
    <t>INTELLIGENCE DIVISION/ CRIMINAL INVESTIGATION DEPARTMENT</t>
  </si>
  <si>
    <t>ASSISTANT DIRECTOR</t>
  </si>
  <si>
    <t>LIM_Sok_Yong@spf.gov.sg</t>
  </si>
  <si>
    <t>Tan Hock Lye</t>
  </si>
  <si>
    <t>APD/Patrol Team C</t>
  </si>
  <si>
    <t>Divisional Operations room supervisor</t>
  </si>
  <si>
    <t>Tan_Hock_Lye@spf.gov.sg</t>
  </si>
  <si>
    <t>Chin Li Lian</t>
  </si>
  <si>
    <t>CAD/SPF</t>
  </si>
  <si>
    <t xml:space="preserve">Head Branch </t>
  </si>
  <si>
    <t xml:space="preserve">Chin_li_lian@spf.gov.sg </t>
  </si>
  <si>
    <t>Lim Sok Yong</t>
  </si>
  <si>
    <t>Amanda_KWANG@spf.gov.sg</t>
  </si>
  <si>
    <t>Lim_Li_Shan@spf.gov.sg</t>
  </si>
  <si>
    <t>MHA29</t>
  </si>
  <si>
    <t>HO_Yun_Sheng@spf.gov.sg</t>
  </si>
  <si>
    <t>Ho Yun Sheng, Jerry</t>
  </si>
  <si>
    <t>MHA32</t>
  </si>
  <si>
    <t>Ashley Lim Li Shan</t>
  </si>
  <si>
    <t>Amanda Kwang</t>
  </si>
  <si>
    <t>9763 0075</t>
  </si>
  <si>
    <t>6557 3773</t>
  </si>
  <si>
    <t>Online reg 13May</t>
  </si>
  <si>
    <t>Online reg 14May</t>
  </si>
  <si>
    <t>Loh Yu Long Justin</t>
  </si>
  <si>
    <t>Specialised Crime Division (Criminal Investgation Department)</t>
  </si>
  <si>
    <t>Senior Investigation Officer</t>
  </si>
  <si>
    <t>Justin_YL_LOH@spf.gov.sg</t>
  </si>
  <si>
    <t>Chia Zhen Yu Calvell</t>
  </si>
  <si>
    <t>Specialised Crime Division / CID</t>
  </si>
  <si>
    <t>Officer in Charge</t>
  </si>
  <si>
    <t>Calvell_Chia@spf.gov.sg</t>
  </si>
  <si>
    <t>Lauren Loh</t>
  </si>
  <si>
    <t>SPF/TP</t>
  </si>
  <si>
    <t>Road safety officer (Strategy)</t>
  </si>
  <si>
    <t>Lauren_loh@spf.gov.sg</t>
  </si>
  <si>
    <t>Neil Ng Say-Juen</t>
  </si>
  <si>
    <t>Clementi/ERT</t>
  </si>
  <si>
    <t>ERT Operator</t>
  </si>
  <si>
    <t>Neil_SJ_NG@spf.gov.sg</t>
  </si>
  <si>
    <t>MHA31</t>
  </si>
  <si>
    <t>Online reg 15May</t>
  </si>
  <si>
    <t>To monitor until 24pax (4 clusters of 6)</t>
  </si>
  <si>
    <t>POCC</t>
  </si>
  <si>
    <t>ALTERNATE SENIOR WATCH OFFICER</t>
  </si>
  <si>
    <t>khoo_chye_heng@spf.gov.sg</t>
  </si>
  <si>
    <t>Khoo Chye Heng Francis</t>
  </si>
  <si>
    <t>Mohammad Rafiq Bin Zahiruddin</t>
  </si>
  <si>
    <t>zahiruddin@spf.gov.sg</t>
  </si>
  <si>
    <t>MHA56</t>
  </si>
  <si>
    <t>9688 4064</t>
  </si>
  <si>
    <t>Tan Jun An Irwin</t>
  </si>
  <si>
    <t>Manpower Department</t>
  </si>
  <si>
    <t>Staff Assistant</t>
  </si>
  <si>
    <t>irwin_ja_tan@spf.gov.sg</t>
  </si>
  <si>
    <t>Nurul Huda</t>
  </si>
  <si>
    <t>Nurul_HUDA@spf.gov.sg</t>
  </si>
  <si>
    <t>6478 4458</t>
  </si>
  <si>
    <t>MHA15</t>
  </si>
  <si>
    <t>Online reg 19May + approval sent</t>
  </si>
  <si>
    <t>Online reg 18May + approved</t>
  </si>
  <si>
    <t>Clementi Division/Bukit Merah West NPC</t>
  </si>
  <si>
    <t>Community Policing Unit</t>
  </si>
  <si>
    <t>Atiqah_afandi@spf.gov.sg</t>
  </si>
  <si>
    <t>Shaiful Bakri</t>
  </si>
  <si>
    <t>D Div/DIB</t>
  </si>
  <si>
    <t>Field Intel Officer</t>
  </si>
  <si>
    <t>Shaiful_bakri@spf.gov.sg</t>
  </si>
  <si>
    <t>clementi div / bukit merah west npc</t>
  </si>
  <si>
    <t>cpu</t>
  </si>
  <si>
    <t>leona_ng@spf.gov.sg</t>
  </si>
  <si>
    <t>Leona Ng</t>
  </si>
  <si>
    <t>UP530. 5% Early Bird Discount</t>
  </si>
  <si>
    <t>Tan Qinpeng</t>
  </si>
  <si>
    <t>Delta/Bukit Merah West NPC</t>
  </si>
  <si>
    <t>Tan_qin_peng@spf.gov.sg</t>
  </si>
  <si>
    <t>To monitor until 24pax (4 clusters of 6)
Hairon has 4pax he wanted to send for Jun course but full house</t>
  </si>
  <si>
    <t>Atiqah Binte Afandi</t>
  </si>
  <si>
    <t>SA</t>
  </si>
  <si>
    <t>Ivan_lz_chua@spf.gov.sg</t>
  </si>
  <si>
    <t>Ivan Chua Li Ze</t>
  </si>
  <si>
    <t>MPD</t>
  </si>
  <si>
    <t>D Div/ERT</t>
  </si>
  <si>
    <t>ERT Trooper</t>
  </si>
  <si>
    <t>aw_choon_kiat@spf.gov.sg</t>
  </si>
  <si>
    <t>Aw Choon Kiat</t>
  </si>
  <si>
    <t>Online reg 22May</t>
  </si>
  <si>
    <t>Mohamad Sufian Bin Jaffar</t>
  </si>
  <si>
    <t>Delta Div / ERT</t>
  </si>
  <si>
    <t>Deputy Team Leader ERT</t>
  </si>
  <si>
    <t>Sufian_jaffar@spf.gov.sg</t>
  </si>
  <si>
    <t>Online reg 19May + approved</t>
  </si>
  <si>
    <t>Online reg 22May + email sent to inform of other dates</t>
  </si>
  <si>
    <t>Online reg 20May + approved</t>
  </si>
  <si>
    <t>Liew Ruenn Yong Mark</t>
  </si>
  <si>
    <t>FCD/PID</t>
  </si>
  <si>
    <t>OC Section</t>
  </si>
  <si>
    <t>mark_liew@spf.gov.sg</t>
  </si>
  <si>
    <t>Irffan Bak Kai Xing</t>
  </si>
  <si>
    <t>SPF / PID</t>
  </si>
  <si>
    <t>Police Officer</t>
  </si>
  <si>
    <t>Bak_Kai_Xing@spf.gov.sg</t>
  </si>
  <si>
    <t>Muhammad_khidhir_mohamed_hashim@spf.gov.sg</t>
  </si>
  <si>
    <t>Muhammad Khidhir Mohamed Hashim</t>
  </si>
  <si>
    <t>MHA20</t>
  </si>
  <si>
    <t xml:space="preserve">Ezyan Farahin Binte Anuar </t>
  </si>
  <si>
    <t>PID</t>
  </si>
  <si>
    <t>FIO</t>
  </si>
  <si>
    <t>Ezyan_farahin_anuar@spf.gov.sg</t>
  </si>
  <si>
    <t xml:space="preserve">9837 7207 </t>
  </si>
  <si>
    <t>Salbrina Abdul Wahab</t>
  </si>
  <si>
    <t>Salbrina_ABDUL_WAHAB@spf.gov.sg</t>
  </si>
  <si>
    <t>9783 3905</t>
  </si>
  <si>
    <t>Online reg 26May + email sent</t>
  </si>
  <si>
    <t>Ezyan Farahin Binte Anuar</t>
  </si>
  <si>
    <t>Online reg 26May + email sent. Placed on waitlist and informed on 27May to switch to Aug run if Jun run no available slots.</t>
  </si>
  <si>
    <t>Online reg 22May for Jun run, waitlisted. Ok to go for this run</t>
  </si>
  <si>
    <t>Pek_keng_leong@spf.gov.sg</t>
  </si>
  <si>
    <t>Muhammad Sufiyan Nurrashid</t>
  </si>
  <si>
    <t>Muhammad_Sufiyan_NURRASHID@spf.gov.sg</t>
  </si>
  <si>
    <t>9023 5340</t>
  </si>
  <si>
    <t>Matthew Chua</t>
  </si>
  <si>
    <t>6557 3708</t>
  </si>
  <si>
    <t>Assistant Director</t>
  </si>
  <si>
    <t>matthew_chua@spf.gov.sg</t>
  </si>
  <si>
    <t>Email to informed that he forgot to register for the course. Unavailable for Aug run, ok for Oct run if no withdrawals for Jun run</t>
  </si>
  <si>
    <t>Lee Hui Yin Amelia</t>
  </si>
  <si>
    <t>Jurong Division</t>
  </si>
  <si>
    <t>Commanding Officer Nanyang NPC</t>
  </si>
  <si>
    <t>Amelia_lee@spf.gov.sg</t>
  </si>
  <si>
    <t>MHA28</t>
  </si>
  <si>
    <t>Muhammad Fadhil Kamroden</t>
  </si>
  <si>
    <t>Muhammad_Fadhil_KAMRODEN@spf.gov.sg</t>
  </si>
  <si>
    <t>9753 3855</t>
  </si>
  <si>
    <t>Online reg on 3Jun25 + approval sent</t>
  </si>
  <si>
    <t>Bedok Division</t>
  </si>
  <si>
    <t>Email to inform he has 6pax on 9Jun</t>
  </si>
  <si>
    <t>ARI-PES250441</t>
  </si>
  <si>
    <t>ARI-PES250442</t>
  </si>
  <si>
    <t>ARI-PES250443</t>
  </si>
  <si>
    <t>ARI-PES250444</t>
  </si>
  <si>
    <t>ARI-PES250445</t>
  </si>
  <si>
    <t>ARI-PES250446</t>
  </si>
  <si>
    <t>ARI-PES250447</t>
  </si>
  <si>
    <t>ARI-PES250448</t>
  </si>
  <si>
    <t>Ryen SC Sim</t>
  </si>
  <si>
    <t>BD/ Intel</t>
  </si>
  <si>
    <t>OC</t>
  </si>
  <si>
    <t>ryen_sc_sim@spf.gov.sg</t>
  </si>
  <si>
    <t>Peng Lishuang</t>
  </si>
  <si>
    <t>BD/ Manpower</t>
  </si>
  <si>
    <t>Head</t>
  </si>
  <si>
    <t>PENG_Lishuang@spf.gov.sg</t>
  </si>
  <si>
    <t>Loy Teck Fei</t>
  </si>
  <si>
    <t>DB/ POD</t>
  </si>
  <si>
    <t>MHA27</t>
  </si>
  <si>
    <t>siti_natasha_nassir@spf.gov.sg</t>
  </si>
  <si>
    <t>Siti Natasha</t>
  </si>
  <si>
    <t>Tay Kok Leong King</t>
  </si>
  <si>
    <t>Online Criminal Harms Act (OCHA) Office</t>
  </si>
  <si>
    <t>Staff Officer</t>
  </si>
  <si>
    <t>Tay_kok_leong@spf.gov.sg</t>
  </si>
  <si>
    <t>Muhammad Hendra Bin Amran</t>
  </si>
  <si>
    <t>Muhd_Hendra_AMRAN@spf.gov.sg</t>
  </si>
  <si>
    <t>9339 3432</t>
  </si>
  <si>
    <t>Online reg 17Jun + approval sent</t>
  </si>
  <si>
    <t>LOY_Teck_Fei@spf.gov.sg</t>
  </si>
  <si>
    <t>Lim Jun Ming</t>
  </si>
  <si>
    <t>PR NPC/ TL</t>
  </si>
  <si>
    <t>Team Leader</t>
  </si>
  <si>
    <t>lim_jun_ming@spf.gov.sg</t>
  </si>
  <si>
    <t>Gideon Manaseh</t>
  </si>
  <si>
    <t>Aw Yong Zhi Yong</t>
  </si>
  <si>
    <t>gideon_manaseh@spf.gov.sg</t>
  </si>
  <si>
    <t>Zhi_Yong_AW_YONG@spf.gov.sg</t>
  </si>
  <si>
    <t>UP530. 5% Early Bird Discount + 5% Group Discount</t>
  </si>
  <si>
    <t>Commanding Officer (CO)</t>
  </si>
  <si>
    <t>Operation Officer (OO)</t>
  </si>
  <si>
    <t>Online reg 26May, waitlisted for Jun run. Ok to go for this run. Refer to email from BAK_Kai_Xing@spf.gov.sg on 1Jul</t>
  </si>
  <si>
    <t>SPF/Commercial Affairs Dept</t>
  </si>
  <si>
    <t xml:space="preserve">Asst Director, Corporate Services Group </t>
  </si>
  <si>
    <t>Matthew Chua Meng Cheng</t>
  </si>
  <si>
    <t>Online reg 11Jul + approval sent</t>
  </si>
  <si>
    <t>Ronnie Lim Han Foong</t>
  </si>
  <si>
    <t>Ronnie_lim@spf.gov.sg</t>
  </si>
  <si>
    <t>Teo Min Lun</t>
  </si>
  <si>
    <t>CIO</t>
  </si>
  <si>
    <t>Teo_Min_Lun@spf.gov.sg</t>
  </si>
  <si>
    <t>Goh Ren Ping Melvin</t>
  </si>
  <si>
    <t>Melvin_Goh@spf.gov.sg</t>
  </si>
  <si>
    <t>Oh Giles Basil</t>
  </si>
  <si>
    <t>Assistant Manager, Business Ops</t>
  </si>
  <si>
    <t>9115 0073</t>
  </si>
  <si>
    <t>giles_oh@polwel.org.sg</t>
  </si>
  <si>
    <t>Online reg 11Jul + approved</t>
  </si>
  <si>
    <t>Submitted Training Request 4Jul by HR</t>
  </si>
  <si>
    <t>OCHA office</t>
  </si>
  <si>
    <t>Wahida_Abdul_Aziz@spf.gov.sg</t>
  </si>
  <si>
    <t>Email to inform he has 6pax on 9Jun. 18Jul - TC email request to withdraw due to other course commitments</t>
  </si>
  <si>
    <t>Hairon reserves 4pax</t>
  </si>
  <si>
    <t>Woodlands Division</t>
  </si>
  <si>
    <t>Hairon whatsapp on 23Jul to confirm reserve 4pax, will send in details on 24Jul</t>
  </si>
  <si>
    <t>Aloysius Zai</t>
  </si>
  <si>
    <t>Nur Sakinah Binte Surani</t>
  </si>
  <si>
    <t>Tan Jun Hao</t>
  </si>
  <si>
    <t>Muhammad Rushaidi Bin Muhammad Fazli</t>
  </si>
  <si>
    <t>G/PR</t>
  </si>
  <si>
    <t>TL</t>
  </si>
  <si>
    <t>GL</t>
  </si>
  <si>
    <t>Designated GL</t>
  </si>
  <si>
    <t>Aloysius_se_zai@spf.gov.sg</t>
  </si>
  <si>
    <t>nur_sakinah_surani@spf.gov.sg</t>
  </si>
  <si>
    <t>Tan_junhao@spf.gov.sg</t>
  </si>
  <si>
    <t>muhd_rushaidi_muhammad_fazli@spf.gov.sg</t>
  </si>
  <si>
    <t>Siti Natasha Binte Abdul Nassir</t>
  </si>
  <si>
    <t>Siti_Natasha_NASSIR@spf.gov.sg</t>
  </si>
  <si>
    <t>9001 1334</t>
  </si>
  <si>
    <t>TC email to reg on 23Jul</t>
  </si>
  <si>
    <t>To monitor until 24pax 
(4 clusters of 6)</t>
  </si>
  <si>
    <t>23Jul - Wilson has 11pax to send, asked him to do a dedicated run</t>
  </si>
  <si>
    <t>MHA23</t>
  </si>
  <si>
    <t>ng_yu_ning@spf.gov.sg</t>
  </si>
  <si>
    <t>Ng Yu Ning</t>
  </si>
  <si>
    <t>TC email to reg on 25Jul</t>
  </si>
  <si>
    <t>Wong Cheuk Kay</t>
  </si>
  <si>
    <t>G/CG</t>
  </si>
  <si>
    <t>WONG_Cheuk_Kay@spf.gov.sg</t>
  </si>
  <si>
    <t>TC email to reg on 29Jul</t>
  </si>
  <si>
    <t>PO: 6700004606</t>
  </si>
  <si>
    <t>Wilson enquired on 24Jul, emailed on 29Jul to reserve 11pax</t>
  </si>
  <si>
    <t>UP530. 5% Early Bird Discount &amp; 5% Group Discoun</t>
  </si>
  <si>
    <t>Ubaidullah Bin Najmudeen</t>
  </si>
  <si>
    <t>Team Lead</t>
  </si>
  <si>
    <t>ubaidullah_n@polwel.org.sg</t>
  </si>
  <si>
    <t>9821 4512</t>
  </si>
  <si>
    <t>Sim Wei Chung</t>
  </si>
  <si>
    <t>Tanglin Division</t>
  </si>
  <si>
    <t>Head Investigation</t>
  </si>
  <si>
    <t>sim_wei_chung@spf.gov.sg</t>
  </si>
  <si>
    <t>Mohammad Amin S/O Majid</t>
  </si>
  <si>
    <t>mohammad_amin_majid@spf.gov.sg</t>
  </si>
  <si>
    <t>Chia Yi Ling</t>
  </si>
  <si>
    <t>Investigation Officer</t>
  </si>
  <si>
    <t>chia_yi_ling@spf.gov.sg</t>
  </si>
  <si>
    <t>Foo Fang Ee</t>
  </si>
  <si>
    <t>foo_fang_ee@spf.gov.sg</t>
  </si>
  <si>
    <t>Spencer Serliat Thomas Tan</t>
  </si>
  <si>
    <t>spencer_tan@spf.gov.sg</t>
  </si>
  <si>
    <t>Muhammad Khabir Bin Faroukh</t>
  </si>
  <si>
    <t>muhammad_khabir_faroukh@spf.gov.sg</t>
  </si>
  <si>
    <t>Teo Shao Yi Fiona</t>
  </si>
  <si>
    <t>teo_shao_yi@spf.gov.sg</t>
  </si>
  <si>
    <t>Eyzen Chua</t>
  </si>
  <si>
    <t>eyzen_chua@spf.gov.sg</t>
  </si>
  <si>
    <t>Muhammad Al-Razif S/O G Suppaiyah Md Faizal</t>
  </si>
  <si>
    <t>muhammad_al-razif@spf.gov.sg</t>
  </si>
  <si>
    <t>Tan Kian Seong</t>
  </si>
  <si>
    <t>Officer-in-Charge</t>
  </si>
  <si>
    <t>tan_kian_seong@spf.gov.sg</t>
  </si>
  <si>
    <t>De Costa Elaine Elicia</t>
  </si>
  <si>
    <t>elaine_elicia_de_costa@spf.gov.sg</t>
  </si>
  <si>
    <t>Tan Hui Min</t>
  </si>
  <si>
    <t>Tan_Hui_Min@spf.gov.sg</t>
  </si>
  <si>
    <t>Bai Qian Hui</t>
  </si>
  <si>
    <t>bai_qian_hui@spf.gov.sg</t>
  </si>
  <si>
    <t>Catherine Choy Chi Ching</t>
  </si>
  <si>
    <t>Catherine_CC_CHOY@spf.gov.sg</t>
  </si>
  <si>
    <t>Online reg 1Aug + approval sent</t>
  </si>
  <si>
    <t>Matthew has extra slot for 10 Sep in case we need one more run if class overflows</t>
  </si>
  <si>
    <t>Loh Seng Hong</t>
  </si>
  <si>
    <t>Loh_seng_hong@spf.gov.sg</t>
  </si>
  <si>
    <t>9028 9309</t>
  </si>
  <si>
    <t>Online reg 26May + email sent. Placed on waitlist and informed on 27May to switch to Aug run if Jun run no available slots. Refer to email from BAK_Kai_Xing@spf.gov.sg on 1Jul. Requested to join on 15Aug, trainer said ok.</t>
  </si>
  <si>
    <t>Daniel teams CH on 16Aug to withdraw due to work exigencies. To register him for 29Oct session instead.</t>
  </si>
  <si>
    <t>Hairon whatsapp on 23Jul to confirm reserve 4pax, will send in details on 24Jul. Hairon informed on 18Aug (email/text) that two pax will withdraw due to work exigencies.</t>
  </si>
  <si>
    <t>Tan Hong Han</t>
  </si>
  <si>
    <t>L Div</t>
  </si>
  <si>
    <t>Ops Officer</t>
  </si>
  <si>
    <t>TAN_Hong_Han@spf.gov.sg</t>
  </si>
  <si>
    <t>Lim Lian Huat</t>
  </si>
  <si>
    <t>IB Officer</t>
  </si>
  <si>
    <t>LIM_LIAN_HUAT@SPF.GOV.SG</t>
  </si>
  <si>
    <t>Yes</t>
  </si>
  <si>
    <t>Hairon Bin Rafie</t>
  </si>
  <si>
    <t>Hairon_RAFIE@spf.gov.sg</t>
  </si>
  <si>
    <t>ERT / Ops Branch</t>
  </si>
  <si>
    <t>Chan Hong Xiang</t>
  </si>
  <si>
    <t>ERT DTL</t>
  </si>
  <si>
    <t>Chan_Hong_Xiang@spf.gov.sg</t>
  </si>
  <si>
    <t xml:space="preserve">Siti Natasha Binte Abdul Nassir </t>
  </si>
  <si>
    <t>TC email to reg on 18Aug</t>
  </si>
  <si>
    <t xml:space="preserve">Online reg 17Jul + approved. Emailed on 18Aug to request </t>
  </si>
  <si>
    <t>Wahida Binte Abdul Aziz</t>
  </si>
  <si>
    <t>ARI-PES250654</t>
  </si>
  <si>
    <t>ARI-PES250655</t>
  </si>
  <si>
    <t>ARI-PES250656</t>
  </si>
  <si>
    <t>ARI-PES250658</t>
  </si>
  <si>
    <t>ARI-PES250659</t>
  </si>
  <si>
    <t>ARI-PES250660</t>
  </si>
  <si>
    <t>ARI-PES250661</t>
  </si>
  <si>
    <t>Ryen Sim Sua Cheo</t>
  </si>
  <si>
    <t>G Div</t>
  </si>
  <si>
    <t>OC FIT</t>
  </si>
  <si>
    <t>Ryen_SC_SIM@spf.gov.sg</t>
  </si>
  <si>
    <t>TC email to reg on 11Sep</t>
  </si>
  <si>
    <t>Mohamad Rozi</t>
  </si>
  <si>
    <t xml:space="preserve">Central Division </t>
  </si>
  <si>
    <t xml:space="preserve">Investigation Support Officer </t>
  </si>
  <si>
    <t>mohd_rozi_RAzali@spf.gov.sg</t>
  </si>
  <si>
    <t>Suzanna Binte Said</t>
  </si>
  <si>
    <t>IB/ISO</t>
  </si>
  <si>
    <t>Suzanna_Said@spf.gov.sg</t>
  </si>
  <si>
    <t>Transition Dollars</t>
  </si>
  <si>
    <t>UP530</t>
  </si>
  <si>
    <t>Online reg on 1Oct</t>
  </si>
  <si>
    <t>Online reg 11Jul + approved. Emailed to withdraw on 1Oct. Unable to attend Dec run.</t>
  </si>
  <si>
    <t>PI-PES0439</t>
  </si>
  <si>
    <t>PI-PES0440</t>
  </si>
  <si>
    <t>SOC</t>
  </si>
  <si>
    <t>Wilson enquired on 24Jul, emailed on 29Jul to reserve 11pax. Replacing Tan Kian Seong. 14Oct - TC email to replace officer with Lim Wei Lieh</t>
  </si>
  <si>
    <t>Lim Wei Lieh</t>
  </si>
  <si>
    <t>Lim_Wei_Lieh@spf.gov.sg</t>
  </si>
  <si>
    <t>9617 5195</t>
  </si>
  <si>
    <t>Wilson enquired on 24Jul, emailed on 29Jul to reserve 11pax. Replacing Loh Seng Hong</t>
  </si>
  <si>
    <t>ELI_MATTHEW_SCHEERDER@SPF.GOV.SG</t>
  </si>
  <si>
    <t>CHEW_Wei_Hock@spf.gov.sg</t>
  </si>
  <si>
    <t>Scheerder Eli Matthew</t>
  </si>
  <si>
    <t>Chew Wei Hock</t>
  </si>
  <si>
    <t>MHA34</t>
  </si>
  <si>
    <t>Thomas Ng</t>
  </si>
  <si>
    <t>Thomas_Zh_NG@spf.gov.sg</t>
  </si>
  <si>
    <t>TC email to reserve 2 slots on 9Oct. Received names on 17Oct</t>
  </si>
  <si>
    <t>Chee Xiu Quan</t>
  </si>
  <si>
    <t>Khairudin Bin Supomo</t>
  </si>
  <si>
    <t>CHEE_Xiu_Quan@spf.gov.sg</t>
  </si>
  <si>
    <t>Khairudin_SUPOMO@spf.gov.sg</t>
  </si>
  <si>
    <t>Deputy Team Leader</t>
  </si>
  <si>
    <t>TC email to reg on 22Oct</t>
  </si>
  <si>
    <t>MC</t>
  </si>
  <si>
    <t>DELAYED PAYMENT</t>
  </si>
  <si>
    <t>ARI-PES250883</t>
  </si>
  <si>
    <t>ARI-PES250884</t>
  </si>
  <si>
    <t>ARI-PES250885</t>
  </si>
  <si>
    <t>Muhammad Khairul Anuar Bin Abdul Rahman</t>
  </si>
  <si>
    <t>Damian Ng Leong Hwee</t>
  </si>
  <si>
    <t>Calvin Goh Jia Le</t>
  </si>
  <si>
    <t>Toh Kim Haw Ivan</t>
  </si>
  <si>
    <t>Mohammad Namazie Abdul Aziz</t>
  </si>
  <si>
    <t>Daryl Stephen Chan Kah Xiong</t>
  </si>
  <si>
    <t>Jenson Lim</t>
  </si>
  <si>
    <t>muhammad_khairul_anuar@spf.gov.sg</t>
  </si>
  <si>
    <t>Damian_NG@spf.gov.sg</t>
  </si>
  <si>
    <t>calvin_jl_goh@spf.gov.sg</t>
  </si>
  <si>
    <t>Ivan_toh@spf.gov.sg</t>
  </si>
  <si>
    <t>Mohammad_Namazie_Abdul_Aziz@spf.gov.sg</t>
  </si>
  <si>
    <t>Daryl_Stephen_Chan@spf.gov.sg</t>
  </si>
  <si>
    <t>Jenson_WC_LIM@spf.gov.sg</t>
  </si>
  <si>
    <t>9185 4161</t>
  </si>
  <si>
    <t>9144 9689</t>
  </si>
  <si>
    <t>SSS</t>
  </si>
  <si>
    <t>ASP</t>
  </si>
  <si>
    <t>SGT(3)</t>
  </si>
  <si>
    <t>SI</t>
  </si>
  <si>
    <t>Jerry emailed to reg 7 pax on 17Nov</t>
  </si>
  <si>
    <t>Anthony Chay</t>
  </si>
  <si>
    <t>Senior Manager</t>
  </si>
  <si>
    <t>9030 4333</t>
  </si>
  <si>
    <t>anthony_chay@polwel.org.sg</t>
  </si>
  <si>
    <t>nicolas_soong@polwel.org.sg</t>
  </si>
  <si>
    <t>Manager</t>
  </si>
  <si>
    <t>Nicolas Soong</t>
  </si>
  <si>
    <t>9152 8632</t>
  </si>
  <si>
    <t>SOO_LAI_CHOON@SPF.GOV.SG</t>
  </si>
  <si>
    <t>Soo Lai Choon</t>
  </si>
  <si>
    <t>amanda_kwang@spf.gov.sg</t>
  </si>
  <si>
    <t xml:space="preserve">6435 8246 </t>
  </si>
  <si>
    <t>HRPS registration</t>
  </si>
  <si>
    <t>Head (Casino Crime Investigation)</t>
  </si>
  <si>
    <t>CID</t>
  </si>
  <si>
    <t>CHUA_TECK_WEE@SPF.GOV.SG</t>
  </si>
  <si>
    <t>Chua Teck Wee</t>
  </si>
  <si>
    <t>Head Operations Management</t>
  </si>
  <si>
    <t>lim_yew_chong@spf.gov.sg</t>
  </si>
  <si>
    <t>9388 8618</t>
  </si>
  <si>
    <t>Lim Yew Chong, Jerry</t>
  </si>
  <si>
    <t>ARI-PES251007</t>
  </si>
  <si>
    <t>ARI-PES251008</t>
  </si>
  <si>
    <t>Iszeraj Bin Ibrahim</t>
  </si>
  <si>
    <t>Yap Yoon Fatt</t>
  </si>
  <si>
    <t>Nazerudyn Shah</t>
  </si>
  <si>
    <t>Chionh Chun Meng</t>
  </si>
  <si>
    <t>Sarfoji Radah (pending approval)</t>
  </si>
  <si>
    <t>TRACOM LETS</t>
  </si>
  <si>
    <t>kerk_zhao_zhen@spf.gov.sg</t>
  </si>
  <si>
    <t>Kerk Zhao Zhen</t>
  </si>
  <si>
    <t>Email to register on 15Dec25 as the course has not been included in HRPS yet. To inform them again to register on HRPS once course has been uploaded.</t>
  </si>
  <si>
    <t>MHA12</t>
  </si>
  <si>
    <t>nazerudyn_shah@spf.gov.sg</t>
  </si>
  <si>
    <t>iszeraj_ibrahim@spf.gov.sg</t>
  </si>
  <si>
    <t>chionh_chun_meng@spf.gov.sg</t>
  </si>
  <si>
    <t>yap_yoon_fatt@spf.gov.sg</t>
  </si>
  <si>
    <t>sarfoji_radah@spf.gov.sg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</si>
</sst>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$&quot;#,##0.00"/>
  </numFmts>
  <fonts count="3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0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color indexed="1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C0000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6" tint="0.79992065187536243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theme="4" tint="0.59993285927915285"/>
        <bgColor indexed="64"/>
      </patternFill>
    </fill>
    <fill>
      <patternFill patternType="solid">
        <fgColor theme="5" tint="0.59993285927915285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3285927915285"/>
        <bgColor indexed="64"/>
      </patternFill>
    </fill>
    <fill>
      <patternFill patternType="solid">
        <fgColor theme="8" tint="0.59993285927915285"/>
        <bgColor indexed="64"/>
      </patternFill>
    </fill>
    <fill>
      <patternFill patternType="solid">
        <fgColor theme="9" tint="0.599932859279152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 tint="0.49992370372631001"/>
      </bottom>
      <diagonal/>
    </border>
  </borders>
  <cellStyleXfs count="120">
    <xf numFmtId="0" fontId="0" fillId="0" borderId="0"/>
    <xf numFmtId="164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0" fontId="8" fillId="0" borderId="0" applyNumberFormat="0" applyFill="0" applyBorder="0" applyAlignment="0" applyProtection="0"/>
    <xf numFmtId="0" fontId="7" fillId="0" borderId="0"/>
    <xf numFmtId="0" fontId="9" fillId="0" borderId="0"/>
    <xf numFmtId="0" fontId="12" fillId="0" borderId="0" applyNumberFormat="0" applyFill="0" applyBorder="0" applyAlignment="0" applyProtection="0"/>
    <xf numFmtId="0" fontId="13" fillId="0" borderId="2" applyNumberFormat="0" applyFill="0" applyAlignment="0" applyProtection="0"/>
    <xf numFmtId="0" fontId="15" fillId="0" borderId="3" applyNumberFormat="0" applyFill="0" applyAlignment="0" applyProtection="0"/>
    <xf numFmtId="0" fontId="15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7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6" fillId="25" borderId="0" applyNumberFormat="0" applyBorder="0" applyAlignment="0" applyProtection="0"/>
    <xf numFmtId="0" fontId="26" fillId="26" borderId="0" applyNumberFormat="0" applyBorder="0" applyAlignment="0" applyProtection="0"/>
    <xf numFmtId="0" fontId="26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6" fillId="30" borderId="0" applyNumberFormat="0" applyBorder="0" applyAlignment="0" applyProtection="0"/>
    <xf numFmtId="0" fontId="17" fillId="31" borderId="0" applyNumberFormat="0" applyBorder="0" applyAlignment="0" applyProtection="0"/>
    <xf numFmtId="0" fontId="21" fillId="32" borderId="4" applyNumberFormat="0" applyAlignment="0" applyProtection="0"/>
    <xf numFmtId="0" fontId="23" fillId="33" borderId="7" applyNumberFormat="0" applyAlignment="0" applyProtection="0"/>
    <xf numFmtId="0" fontId="16" fillId="34" borderId="0" applyNumberFormat="0" applyBorder="0" applyAlignment="0" applyProtection="0"/>
    <xf numFmtId="0" fontId="14" fillId="0" borderId="10" applyNumberFormat="0" applyFill="0" applyAlignment="0" applyProtection="0"/>
    <xf numFmtId="0" fontId="19" fillId="5" borderId="4" applyNumberFormat="0" applyAlignment="0" applyProtection="0"/>
    <xf numFmtId="0" fontId="18" fillId="35" borderId="0" applyNumberFormat="0" applyBorder="0" applyAlignment="0" applyProtection="0"/>
    <xf numFmtId="0" fontId="7" fillId="6" borderId="8" applyNumberFormat="0" applyFont="0" applyAlignment="0" applyProtection="0"/>
    <xf numFmtId="0" fontId="20" fillId="32" borderId="5" applyNumberFormat="0" applyAlignment="0" applyProtection="0"/>
    <xf numFmtId="0" fontId="28" fillId="0" borderId="0" applyNumberForma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0" fontId="7" fillId="0" borderId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7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6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/>
    </xf>
    <xf numFmtId="165" fontId="1" fillId="0" borderId="1" xfId="0" applyNumberFormat="1" applyFont="1" applyBorder="1" applyAlignment="1">
      <alignment horizontal="left" vertical="top"/>
    </xf>
    <xf numFmtId="0" fontId="1" fillId="0" borderId="1" xfId="2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1" xfId="2" applyFont="1" applyFill="1" applyBorder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 vertical="top" wrapText="1"/>
    </xf>
    <xf numFmtId="0" fontId="1" fillId="0" borderId="1" xfId="2" applyFont="1" applyBorder="1" applyAlignment="1">
      <alignment horizontal="left" vertical="top"/>
    </xf>
    <xf numFmtId="0" fontId="3" fillId="0" borderId="0" xfId="2" applyBorder="1" applyAlignment="1">
      <alignment horizontal="left" vertical="top"/>
    </xf>
    <xf numFmtId="0" fontId="4" fillId="2" borderId="1" xfId="0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4" applyFont="1" applyBorder="1" applyAlignment="1">
      <alignment horizontal="left" vertical="top" wrapText="1"/>
    </xf>
    <xf numFmtId="0" fontId="0" fillId="0" borderId="1" xfId="4" applyFont="1" applyBorder="1" applyAlignment="1">
      <alignment horizontal="left" vertical="top"/>
    </xf>
    <xf numFmtId="0" fontId="0" fillId="0" borderId="1" xfId="4" quotePrefix="1" applyFont="1" applyBorder="1" applyAlignment="1">
      <alignment horizontal="left" vertical="top"/>
    </xf>
    <xf numFmtId="0" fontId="10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left" vertical="top"/>
    </xf>
    <xf numFmtId="0" fontId="1" fillId="0" borderId="0" xfId="4" applyFont="1" applyAlignment="1">
      <alignment horizontal="left" vertical="top"/>
    </xf>
    <xf numFmtId="0" fontId="0" fillId="0" borderId="0" xfId="0" quotePrefix="1" applyAlignment="1">
      <alignment horizontal="left" vertical="top"/>
    </xf>
    <xf numFmtId="0" fontId="3" fillId="0" borderId="0" xfId="6" applyFont="1" applyFill="1" applyBorder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165" fontId="1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/>
    </xf>
    <xf numFmtId="0" fontId="4" fillId="0" borderId="0" xfId="4" applyFont="1" applyAlignment="1">
      <alignment horizontal="left"/>
    </xf>
    <xf numFmtId="0" fontId="1" fillId="0" borderId="0" xfId="4" applyFont="1" applyAlignment="1">
      <alignment horizontal="left"/>
    </xf>
    <xf numFmtId="0" fontId="3" fillId="0" borderId="0" xfId="2" applyBorder="1" applyAlignment="1">
      <alignment horizontal="left"/>
    </xf>
    <xf numFmtId="0" fontId="0" fillId="0" borderId="0" xfId="0" quotePrefix="1" applyAlignment="1">
      <alignment horizontal="left"/>
    </xf>
    <xf numFmtId="165" fontId="4" fillId="0" borderId="0" xfId="0" applyNumberFormat="1" applyFont="1" applyAlignment="1">
      <alignment wrapText="1"/>
    </xf>
    <xf numFmtId="165" fontId="4" fillId="0" borderId="0" xfId="0" applyNumberFormat="1" applyFont="1" applyAlignment="1">
      <alignment horizontal="left"/>
    </xf>
    <xf numFmtId="0" fontId="3" fillId="0" borderId="0" xfId="6" applyFont="1" applyFill="1" applyBorder="1" applyAlignment="1">
      <alignment horizontal="left"/>
    </xf>
    <xf numFmtId="0" fontId="1" fillId="0" borderId="0" xfId="2" applyFont="1" applyBorder="1" applyAlignment="1">
      <alignment horizontal="left" vertical="top"/>
    </xf>
    <xf numFmtId="0" fontId="11" fillId="0" borderId="0" xfId="2" applyFont="1" applyBorder="1" applyAlignment="1">
      <alignment horizontal="left" vertical="top"/>
    </xf>
    <xf numFmtId="0" fontId="0" fillId="0" borderId="0" xfId="4" quotePrefix="1" applyFont="1" applyAlignment="1">
      <alignment horizontal="left" vertical="top"/>
    </xf>
    <xf numFmtId="0" fontId="6" fillId="0" borderId="0" xfId="0" applyFont="1" applyAlignment="1">
      <alignment vertical="top"/>
    </xf>
    <xf numFmtId="0" fontId="0" fillId="0" borderId="0" xfId="4" applyFont="1" applyAlignment="1">
      <alignment horizontal="left" vertical="top"/>
    </xf>
    <xf numFmtId="0" fontId="1" fillId="0" borderId="0" xfId="2" applyFont="1" applyFill="1" applyBorder="1" applyAlignment="1">
      <alignment horizontal="left" vertical="top" wrapText="1"/>
    </xf>
    <xf numFmtId="0" fontId="10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30" fillId="0" borderId="1" xfId="4" applyFont="1" applyBorder="1" applyAlignment="1">
      <alignment horizontal="left" vertical="top"/>
    </xf>
    <xf numFmtId="0" fontId="31" fillId="0" borderId="1" xfId="4" applyFont="1" applyBorder="1" applyAlignment="1">
      <alignment horizontal="left" vertical="top"/>
    </xf>
    <xf numFmtId="0" fontId="31" fillId="0" borderId="1" xfId="0" applyFont="1" applyBorder="1" applyAlignment="1">
      <alignment horizontal="left" vertical="top"/>
    </xf>
    <xf numFmtId="0" fontId="29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" fillId="0" borderId="0" xfId="4" applyFont="1" applyAlignment="1">
      <alignment horizontal="left" vertical="top" wrapText="1"/>
    </xf>
    <xf numFmtId="0" fontId="3" fillId="0" borderId="1" xfId="2" applyBorder="1" applyAlignment="1">
      <alignment horizontal="left" vertical="top"/>
    </xf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left" vertical="top"/>
    </xf>
    <xf numFmtId="0" fontId="1" fillId="0" borderId="0" xfId="2" applyFont="1" applyBorder="1" applyAlignment="1">
      <alignment horizontal="left" vertical="top" wrapText="1"/>
    </xf>
    <xf numFmtId="0" fontId="32" fillId="0" borderId="0" xfId="4" applyFont="1" applyAlignment="1">
      <alignment horizontal="left" vertical="top" wrapText="1"/>
    </xf>
    <xf numFmtId="0" fontId="29" fillId="0" borderId="1" xfId="0" applyFont="1" applyBorder="1" applyAlignment="1">
      <alignment horizontal="left" vertical="top"/>
    </xf>
    <xf numFmtId="0" fontId="6" fillId="0" borderId="1" xfId="0" applyFont="1" applyBorder="1" applyAlignment="1">
      <alignment vertical="top"/>
    </xf>
    <xf numFmtId="0" fontId="4" fillId="36" borderId="0" xfId="0" applyFont="1" applyFill="1" applyAlignment="1">
      <alignment horizontal="center" vertical="center"/>
    </xf>
    <xf numFmtId="0" fontId="10" fillId="3" borderId="1" xfId="0" applyFont="1" applyFill="1" applyBorder="1" applyAlignment="1">
      <alignment horizontal="center" vertical="top"/>
    </xf>
    <xf numFmtId="0" fontId="1" fillId="0" borderId="0" xfId="4" applyFont="1" applyAlignment="1">
      <alignment horizontal="left" vertical="top" wrapText="1"/>
    </xf>
    <xf numFmtId="0" fontId="3" fillId="0" borderId="1" xfId="2" applyFill="1" applyBorder="1" applyAlignment="1">
      <alignment horizontal="left" vertical="top" wrapText="1"/>
    </xf>
  </cellXfs>
  <cellStyles count="120">
    <cellStyle name="20% - Accent1 2" xfId="17" xr:uid="{E7AA17D8-C9AF-488E-8156-45074DFE71E1}"/>
    <cellStyle name="20% - Accent2 2" xfId="18" xr:uid="{C8F6CB6A-FF63-4A88-A074-E71FF36BC37A}"/>
    <cellStyle name="20% - Accent3 2" xfId="19" xr:uid="{FEEDBA14-21EA-4CBD-84E5-658EC945D70C}"/>
    <cellStyle name="20% - Accent4 2" xfId="20" xr:uid="{D09C0066-9A2F-4989-AEE3-122544447F92}"/>
    <cellStyle name="20% - Accent5 2" xfId="21" xr:uid="{32614587-752A-4E43-B282-ED3EC4C637FC}"/>
    <cellStyle name="20% - Accent6 2" xfId="22" xr:uid="{4E52EBC8-701E-400B-BEF2-38C9E237A9FF}"/>
    <cellStyle name="40% - Accent1 2" xfId="23" xr:uid="{D2F8942D-E41D-4B56-81C4-F340F8084096}"/>
    <cellStyle name="40% - Accent2 2" xfId="24" xr:uid="{75DAF85E-3309-4049-9FDF-F14914554570}"/>
    <cellStyle name="40% - Accent3 2" xfId="25" xr:uid="{6E1E03C9-62DC-4B3D-AFFD-62D6CF1693C7}"/>
    <cellStyle name="40% - Accent4 2" xfId="26" xr:uid="{A2E9D83A-97F1-49EA-B4EF-044D60187ECD}"/>
    <cellStyle name="40% - Accent5 2" xfId="27" xr:uid="{122E6BD4-F5B6-498A-BEE7-C0F3C8A173AD}"/>
    <cellStyle name="40% - Accent6 2" xfId="28" xr:uid="{3DF715BB-9D73-45F1-A073-4B5D55A95C14}"/>
    <cellStyle name="60% - Accent1 2" xfId="29" xr:uid="{D3B47BE1-63E7-4083-B868-7D9F88C4F5AE}"/>
    <cellStyle name="60% - Accent2 2" xfId="30" xr:uid="{59D3C125-0D29-4D60-88C6-BC0DCC551C97}"/>
    <cellStyle name="60% - Accent3 2" xfId="31" xr:uid="{7AC0C920-370E-449F-8CFD-7001A8674D7A}"/>
    <cellStyle name="60% - Accent4 2" xfId="32" xr:uid="{C1EC545F-5B6B-4157-A55B-BDB233E0FFC2}"/>
    <cellStyle name="60% - Accent5 2" xfId="33" xr:uid="{1346AEDE-CE02-420D-B710-C3F22C0ADA35}"/>
    <cellStyle name="60% - Accent6 2" xfId="34" xr:uid="{804E60F7-E02B-4159-823E-7B5417A5DB8C}"/>
    <cellStyle name="Accent1 2" xfId="35" xr:uid="{042ADEE8-12E5-4AD1-A8CF-6A255CC0BB42}"/>
    <cellStyle name="Accent2 2" xfId="36" xr:uid="{46160DBD-9AC8-4A6E-AC61-5010EAF5E4B7}"/>
    <cellStyle name="Accent3 2" xfId="37" xr:uid="{B8C738FF-98F1-45DD-983B-A32F2D8C1CF2}"/>
    <cellStyle name="Accent4 2" xfId="38" xr:uid="{0E6908CD-0ED7-41DE-8A6C-602BE76445B3}"/>
    <cellStyle name="Accent5 2" xfId="39" xr:uid="{4E06E148-7968-4CE9-B99D-C15758E3CB33}"/>
    <cellStyle name="Accent6 2" xfId="40" xr:uid="{352071F2-D704-4202-84C0-35362DD8FFA8}"/>
    <cellStyle name="Bad 2" xfId="41" xr:uid="{0F1012B5-65E6-4529-AEC9-BB49DEBBDAC6}"/>
    <cellStyle name="Calculation 2" xfId="42" xr:uid="{F600CF25-ABB9-4BC3-9F21-5AD684BC65E2}"/>
    <cellStyle name="Check Cell 2" xfId="43" xr:uid="{051CC3DF-700E-4A0F-BE0F-232B36E41A71}"/>
    <cellStyle name="Comma" xfId="1" builtinId="3"/>
    <cellStyle name="Comma 2" xfId="3" xr:uid="{4CD87C2C-9C21-40B7-9AB3-B0B2F0C3E0E7}"/>
    <cellStyle name="Comma 2 10" xfId="51" xr:uid="{60127F9A-5A58-46D7-ADCA-095DE52D463A}"/>
    <cellStyle name="Comma 2 11" xfId="93" xr:uid="{2BBCD9E1-C507-433B-92AD-A878EDD4979B}"/>
    <cellStyle name="Comma 2 2" xfId="53" xr:uid="{238A85AE-D64F-49C8-8819-24654E2C8DB4}"/>
    <cellStyle name="Comma 2 2 2" xfId="55" xr:uid="{BD07D011-EC8D-4FC4-8A8E-F3450F7385CD}"/>
    <cellStyle name="Comma 2 2 2 2" xfId="80" xr:uid="{D00AD881-BB28-4B38-9A46-094F50DF054F}"/>
    <cellStyle name="Comma 2 2 2 2 2" xfId="110" xr:uid="{04FD5727-50F3-470F-9C59-8554220207F2}"/>
    <cellStyle name="Comma 2 2 2 3" xfId="91" xr:uid="{2F36A31B-537E-4889-BD01-F3D43F60D12A}"/>
    <cellStyle name="Comma 2 2 2 3 2" xfId="119" xr:uid="{7360E891-FCC7-4398-81A1-C2FC784888A1}"/>
    <cellStyle name="Comma 2 2 2 4" xfId="68" xr:uid="{943B435A-E3FF-4594-8986-BA02166FC8E2}"/>
    <cellStyle name="Comma 2 2 2 5" xfId="99" xr:uid="{EA39EEEA-EE86-42E5-A3CB-997FFC1C2571}"/>
    <cellStyle name="Comma 2 2 3" xfId="70" xr:uid="{B01F4BF3-7986-401B-8B22-653C4ACF3D2B}"/>
    <cellStyle name="Comma 2 2 3 2" xfId="75" xr:uid="{68EBC3D9-1CBF-443F-A204-9B039DFAC2A5}"/>
    <cellStyle name="Comma 2 2 3 2 2" xfId="105" xr:uid="{C50A471F-71D4-47DE-BCC7-4A492B9D64D9}"/>
    <cellStyle name="Comma 2 2 3 3" xfId="86" xr:uid="{8EA58497-1CB4-4386-A8D4-E73F53319E88}"/>
    <cellStyle name="Comma 2 2 3 3 2" xfId="114" xr:uid="{E243AF72-3254-4FBD-ABC4-2DC51EBDE8CD}"/>
    <cellStyle name="Comma 2 2 3 4" xfId="101" xr:uid="{72C927B1-5091-4F7E-AA0D-6D0071336EE3}"/>
    <cellStyle name="Comma 2 2 4" xfId="72" xr:uid="{D887A277-1299-4F0A-BF24-471F587AD085}"/>
    <cellStyle name="Comma 2 2 4 2" xfId="103" xr:uid="{728EC7D7-D5FA-40BC-A27B-9F07828ED2BD}"/>
    <cellStyle name="Comma 2 2 5" xfId="84" xr:uid="{1F7D1378-FC3B-4393-AE31-015A2BDCAFE1}"/>
    <cellStyle name="Comma 2 2 5 2" xfId="112" xr:uid="{D47AF4EB-570E-4F44-A8B2-3BA0D87FC6D7}"/>
    <cellStyle name="Comma 2 2 6" xfId="62" xr:uid="{64D3F933-D181-48F5-8A6E-43613D6A32B5}"/>
    <cellStyle name="Comma 2 2 7" xfId="94" xr:uid="{CB1EA1FB-DCDC-4330-B42A-BE0F8E346D74}"/>
    <cellStyle name="Comma 2 3" xfId="54" xr:uid="{DEDA50C1-7533-478A-BFC1-70487351B92A}"/>
    <cellStyle name="Comma 2 3 2" xfId="77" xr:uid="{EE25739B-37F9-4D45-9748-17F65C8D9879}"/>
    <cellStyle name="Comma 2 3 2 2" xfId="107" xr:uid="{D89ED5F1-280D-440A-947C-AFA6471186A5}"/>
    <cellStyle name="Comma 2 3 3" xfId="88" xr:uid="{C7D4B37E-162E-461B-BB41-E36AE6CF05B0}"/>
    <cellStyle name="Comma 2 3 3 2" xfId="116" xr:uid="{C06EE6C2-CF74-4D7F-B9A7-CE061542E78F}"/>
    <cellStyle name="Comma 2 3 4" xfId="65" xr:uid="{E7FE0326-4BD6-4214-80C8-C501D92A0149}"/>
    <cellStyle name="Comma 2 3 5" xfId="96" xr:uid="{4BC571CE-D08A-4751-A62C-5998B7EF0C65}"/>
    <cellStyle name="Comma 2 4" xfId="66" xr:uid="{8E363E97-A8EE-4763-9263-CC3E31E72ABB}"/>
    <cellStyle name="Comma 2 4 2" xfId="78" xr:uid="{B68B2FB0-539C-410F-A58E-1F4C4445E12C}"/>
    <cellStyle name="Comma 2 4 2 2" xfId="108" xr:uid="{122763E0-170F-417A-A201-3E3F14BE4234}"/>
    <cellStyle name="Comma 2 4 3" xfId="89" xr:uid="{DC4B3B6E-964F-4A74-9115-829D1249DAC7}"/>
    <cellStyle name="Comma 2 4 3 2" xfId="117" xr:uid="{F7CD2BCF-DDF8-4EF6-99C6-FA5C22F69D46}"/>
    <cellStyle name="Comma 2 4 4" xfId="97" xr:uid="{03D2A72E-8FF6-4B62-8A81-9F8F6B2F0CDE}"/>
    <cellStyle name="Comma 2 5" xfId="67" xr:uid="{CAF254EB-93C4-4AD1-B2ED-E6DF16DCC26C}"/>
    <cellStyle name="Comma 2 5 2" xfId="79" xr:uid="{0C358F7B-5D30-49CB-AC2D-FBB525C9A3B7}"/>
    <cellStyle name="Comma 2 5 2 2" xfId="109" xr:uid="{45971700-3601-46A9-8204-8AF845C595A6}"/>
    <cellStyle name="Comma 2 5 3" xfId="90" xr:uid="{A3824778-8EBF-40DD-A549-DF02F384626D}"/>
    <cellStyle name="Comma 2 5 3 2" xfId="118" xr:uid="{08C99EDB-D6BB-4879-A6FF-09DADF11373C}"/>
    <cellStyle name="Comma 2 5 4" xfId="98" xr:uid="{696CFEA9-0957-4052-858E-90CB35D6FC88}"/>
    <cellStyle name="Comma 2 6" xfId="69" xr:uid="{7D75A08A-9118-4619-858C-D50066D29F5F}"/>
    <cellStyle name="Comma 2 6 2" xfId="73" xr:uid="{22D00D57-E87F-45A3-9298-48ADA342A678}"/>
    <cellStyle name="Comma 2 6 2 2" xfId="104" xr:uid="{E518DE94-6F7C-4D2F-B269-9D9C9DF3C7C5}"/>
    <cellStyle name="Comma 2 6 3" xfId="85" xr:uid="{F556EBA3-55E1-43D7-A40E-1259B0C3EF44}"/>
    <cellStyle name="Comma 2 6 3 2" xfId="113" xr:uid="{414551D8-3A02-49C8-99F4-F07717998F51}"/>
    <cellStyle name="Comma 2 6 4" xfId="100" xr:uid="{775BAC26-2E99-4D13-9B13-A506A32A887F}"/>
    <cellStyle name="Comma 2 7" xfId="71" xr:uid="{57D82FB0-A04D-4FB8-8F3E-C2D1966ED466}"/>
    <cellStyle name="Comma 2 7 2" xfId="102" xr:uid="{6B3B78BE-81B9-4FD6-8AD3-48E84FC6EED6}"/>
    <cellStyle name="Comma 2 8" xfId="83" xr:uid="{545F0226-520D-41DC-944A-D67EE3923BFA}"/>
    <cellStyle name="Comma 2 8 2" xfId="111" xr:uid="{491ABBA3-C2EE-4441-ABAD-10F7199A5431}"/>
    <cellStyle name="Comma 2 9" xfId="60" xr:uid="{2E53B644-89E9-43B3-A68F-4EC519154F18}"/>
    <cellStyle name="Currency 2" xfId="64" xr:uid="{F5118AF7-CB16-4D46-860E-9BF85C6EBD6F}"/>
    <cellStyle name="Currency 2 2" xfId="76" xr:uid="{E0AE0E0D-A59C-4488-9DC0-9A135485318C}"/>
    <cellStyle name="Currency 2 2 2" xfId="106" xr:uid="{8C3333F9-410C-477E-A0AB-2F8F7E9CFD8E}"/>
    <cellStyle name="Currency 2 3" xfId="87" xr:uid="{A1701ED9-EF1E-4C47-A648-2EA173DCDEB4}"/>
    <cellStyle name="Currency 2 3 2" xfId="115" xr:uid="{309F6C05-FADA-4221-8BAE-91F08A3A71F9}"/>
    <cellStyle name="Currency 2 4" xfId="95" xr:uid="{AC0D2DEC-F8B1-4A79-AB6B-20BE938A9E98}"/>
    <cellStyle name="Explanatory Text" xfId="14" builtinId="53" customBuiltin="1"/>
    <cellStyle name="Good 2" xfId="44" xr:uid="{F9CD4E96-31AC-4004-AA27-75FC98792249}"/>
    <cellStyle name="Heading 1" xfId="10" builtinId="16" customBuiltin="1"/>
    <cellStyle name="Heading 2 2" xfId="45" xr:uid="{6DD73043-C64C-4940-85C6-FAE1B66F70E4}"/>
    <cellStyle name="Heading 3" xfId="11" builtinId="18" customBuiltin="1"/>
    <cellStyle name="Heading 4" xfId="12" builtinId="19" customBuiltin="1"/>
    <cellStyle name="Hyperlink" xfId="2" builtinId="8"/>
    <cellStyle name="Hyperlink 2" xfId="6" xr:uid="{C053E42C-7C3F-4263-8819-EB075288ADCC}"/>
    <cellStyle name="Input 2" xfId="46" xr:uid="{480CED28-C49C-4771-8CBD-3FA1C49808BF}"/>
    <cellStyle name="Linked Cell" xfId="13" builtinId="24" customBuiltin="1"/>
    <cellStyle name="Neutral 2" xfId="47" xr:uid="{9AB51B4E-0C57-4C15-9DEB-74DAC7089316}"/>
    <cellStyle name="Normal" xfId="0" builtinId="0"/>
    <cellStyle name="Normal 2" xfId="4" xr:uid="{A5960B27-098A-4BCC-B68E-0EC74BB42C29}"/>
    <cellStyle name="Normal 2 2" xfId="57" xr:uid="{3CEC5809-B599-4228-A652-390E11AD8A4B}"/>
    <cellStyle name="Normal 2 3" xfId="56" xr:uid="{DA747D6F-82E9-478F-96CD-E843CA6D9346}"/>
    <cellStyle name="Normal 2 4" xfId="59" xr:uid="{8F649FBF-685C-4441-BF62-635F36D38CA0}"/>
    <cellStyle name="Normal 3" xfId="5" xr:uid="{DF057BDB-A2B5-4712-A186-33B2DE4456F5}"/>
    <cellStyle name="Normal 4" xfId="8" xr:uid="{19CB84B0-2838-44EE-9FF9-F3E7C18FB89B}"/>
    <cellStyle name="Normal 4 2" xfId="74" xr:uid="{0E468ED1-E24C-4DF8-9418-4FB7E4A5DA3A}"/>
    <cellStyle name="Normal 4 3" xfId="61" xr:uid="{6169617C-C485-48A2-9902-84EF968DFEBC}"/>
    <cellStyle name="Normal 4 4" xfId="52" xr:uid="{2909740F-B2BB-4C3F-8153-D38443DF6105}"/>
    <cellStyle name="Normal 5" xfId="16" xr:uid="{CF6D0672-84C2-4482-968E-DA81C24A4DAE}"/>
    <cellStyle name="Normal 5 2" xfId="82" xr:uid="{189954BB-FF41-413A-91F6-D375B02B8850}"/>
    <cellStyle name="Normal 5 3" xfId="92" xr:uid="{2506EB1E-38E3-4FB7-AB35-8E507D1DD324}"/>
    <cellStyle name="Normal 5 4" xfId="81" xr:uid="{2340F355-B581-43D1-84F3-C0FFBA2C6207}"/>
    <cellStyle name="Normal 5 5" xfId="58" xr:uid="{163F8175-F5DB-4D5D-8364-2664C88165FF}"/>
    <cellStyle name="Normal 8 2" xfId="63" xr:uid="{EC51748D-185F-46F8-9CDB-1BAC1D58F5BD}"/>
    <cellStyle name="Normal 8 3" xfId="7" xr:uid="{E4FC8660-3E71-4653-BB52-CA69EC1EAE4A}"/>
    <cellStyle name="Note 2" xfId="48" xr:uid="{56C592C4-6D10-4D38-83F6-49C00E00F542}"/>
    <cellStyle name="Output 2" xfId="49" xr:uid="{EC68510D-C0E9-4160-964C-8175B6D2D354}"/>
    <cellStyle name="Title" xfId="9" builtinId="15" customBuiltin="1"/>
    <cellStyle name="Total" xfId="15" builtinId="25" customBuiltin="1"/>
    <cellStyle name="Warning Text 2" xfId="50" xr:uid="{83495123-F902-4693-A54F-B10EC053F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tthew_chua@spf.gov.s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chionh_chun_meng@spf.gov.sg" TargetMode="External"/><Relationship Id="rId3" Type="http://schemas.openxmlformats.org/officeDocument/2006/relationships/hyperlink" Target="mailto:kerk_zhao_zhen@spf.gov.sg" TargetMode="External"/><Relationship Id="rId7" Type="http://schemas.openxmlformats.org/officeDocument/2006/relationships/hyperlink" Target="mailto:iszeraj_ibrahim@spf.gov.sg" TargetMode="External"/><Relationship Id="rId2" Type="http://schemas.openxmlformats.org/officeDocument/2006/relationships/hyperlink" Target="mailto:kerk_zhao_zhen@spf.gov.sg" TargetMode="External"/><Relationship Id="rId1" Type="http://schemas.openxmlformats.org/officeDocument/2006/relationships/hyperlink" Target="mailto:kerk_zhao_zhen@spf.gov.sg" TargetMode="External"/><Relationship Id="rId6" Type="http://schemas.openxmlformats.org/officeDocument/2006/relationships/hyperlink" Target="mailto:nazerudyn_shah@spf.gov.sg" TargetMode="External"/><Relationship Id="rId11" Type="http://schemas.openxmlformats.org/officeDocument/2006/relationships/printerSettings" Target="../printerSettings/printerSettings5.bin"/><Relationship Id="rId5" Type="http://schemas.openxmlformats.org/officeDocument/2006/relationships/hyperlink" Target="mailto:kerk_zhao_zhen@spf.gov.sg" TargetMode="External"/><Relationship Id="rId10" Type="http://schemas.openxmlformats.org/officeDocument/2006/relationships/hyperlink" Target="mailto:sarfoji_radah@spf.gov.sg" TargetMode="External"/><Relationship Id="rId4" Type="http://schemas.openxmlformats.org/officeDocument/2006/relationships/hyperlink" Target="mailto:kerk_zhao_zhen@spf.gov.sg" TargetMode="External"/><Relationship Id="rId9" Type="http://schemas.openxmlformats.org/officeDocument/2006/relationships/hyperlink" Target="mailto:yap_yoon_fatt@spf.gov.s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158EE-99CE-46F3-8A82-5A3B3ECDF8FE}">
  <dimension ref="A1:Q39"/>
  <sheetViews>
    <sheetView topLeftCell="A17" zoomScale="80" zoomScaleNormal="80" workbookViewId="0">
      <selection activeCell="M12" sqref="M12:P12"/>
    </sheetView>
  </sheetViews>
  <sheetFormatPr defaultColWidth="8.90625" defaultRowHeight="30" customHeight="1" x14ac:dyDescent="0.35"/>
  <cols>
    <col min="1" max="1" width="44.36328125" style="6" customWidth="1"/>
    <col min="2" max="2" width="24.453125" style="6" customWidth="1"/>
    <col min="3" max="3" width="31.453125" style="6" customWidth="1"/>
    <col min="4" max="4" width="38.08984375" style="7" customWidth="1"/>
    <col min="5" max="5" width="12.36328125" style="6" customWidth="1"/>
    <col min="6" max="6" width="10.54296875" style="6" customWidth="1"/>
    <col min="7" max="7" width="12.1796875" style="10" customWidth="1"/>
    <col min="8" max="8" width="16.81640625" style="6" customWidth="1"/>
    <col min="9" max="9" width="28.7265625" style="10" customWidth="1"/>
    <col min="10" max="10" width="20" style="10" customWidth="1"/>
    <col min="11" max="11" width="18" style="54" customWidth="1"/>
    <col min="12" max="12" width="18.81640625" style="6" customWidth="1"/>
    <col min="13" max="13" width="13.81640625" style="6" customWidth="1"/>
    <col min="14" max="14" width="29.90625" style="6" customWidth="1"/>
    <col min="15" max="15" width="29.81640625" style="6" customWidth="1"/>
    <col min="16" max="16" width="19.54296875" style="6" customWidth="1"/>
    <col min="17" max="17" width="41.36328125" style="10" bestFit="1" customWidth="1"/>
    <col min="18" max="16384" width="8.90625" style="6"/>
  </cols>
  <sheetData>
    <row r="1" spans="1:17" s="16" customFormat="1" ht="38" customHeight="1" x14ac:dyDescent="0.35">
      <c r="A1" s="14" t="s">
        <v>11</v>
      </c>
      <c r="B1" s="14" t="s">
        <v>3</v>
      </c>
      <c r="C1" s="14" t="s">
        <v>8</v>
      </c>
      <c r="D1" s="14" t="s">
        <v>7</v>
      </c>
      <c r="E1" s="14" t="s">
        <v>0</v>
      </c>
      <c r="F1" s="14" t="s">
        <v>6</v>
      </c>
      <c r="G1" s="14" t="s">
        <v>5</v>
      </c>
      <c r="H1" s="15" t="s">
        <v>4</v>
      </c>
      <c r="I1" s="14" t="s">
        <v>9</v>
      </c>
      <c r="J1" s="14" t="s">
        <v>16</v>
      </c>
      <c r="K1" s="14" t="s">
        <v>17</v>
      </c>
      <c r="L1" s="14" t="s">
        <v>18</v>
      </c>
      <c r="M1" s="14" t="s">
        <v>10</v>
      </c>
      <c r="N1" s="14" t="s">
        <v>1</v>
      </c>
      <c r="O1" s="14" t="s">
        <v>2</v>
      </c>
      <c r="P1" s="14" t="s">
        <v>12</v>
      </c>
      <c r="Q1" s="14" t="s">
        <v>13</v>
      </c>
    </row>
    <row r="2" spans="1:17" s="5" customFormat="1" ht="28" customHeight="1" x14ac:dyDescent="0.35">
      <c r="A2" s="21" t="s">
        <v>46</v>
      </c>
      <c r="B2" s="18" t="s">
        <v>34</v>
      </c>
      <c r="C2" s="21" t="s">
        <v>35</v>
      </c>
      <c r="D2" s="12" t="s">
        <v>36</v>
      </c>
      <c r="E2" s="2">
        <v>91767693</v>
      </c>
      <c r="F2" s="2" t="s">
        <v>21</v>
      </c>
      <c r="G2" s="2" t="s">
        <v>15</v>
      </c>
      <c r="H2" s="3">
        <v>503.5</v>
      </c>
      <c r="I2" s="2" t="s">
        <v>41</v>
      </c>
      <c r="J2" s="2"/>
      <c r="K2" s="53" t="s">
        <v>234</v>
      </c>
      <c r="L2" s="2"/>
      <c r="M2" s="2" t="s">
        <v>22</v>
      </c>
      <c r="N2" s="12" t="s">
        <v>23</v>
      </c>
      <c r="O2" s="8" t="s">
        <v>24</v>
      </c>
      <c r="P2" s="2" t="s">
        <v>25</v>
      </c>
      <c r="Q2" s="2" t="s">
        <v>55</v>
      </c>
    </row>
    <row r="3" spans="1:17" s="5" customFormat="1" ht="28" customHeight="1" x14ac:dyDescent="0.35">
      <c r="A3" s="21" t="s">
        <v>37</v>
      </c>
      <c r="B3" s="18" t="s">
        <v>38</v>
      </c>
      <c r="C3" s="18" t="s">
        <v>39</v>
      </c>
      <c r="D3" s="12" t="s">
        <v>40</v>
      </c>
      <c r="E3" s="12">
        <v>91507956</v>
      </c>
      <c r="F3" s="2" t="s">
        <v>21</v>
      </c>
      <c r="G3" s="2" t="s">
        <v>15</v>
      </c>
      <c r="H3" s="3">
        <v>503.5</v>
      </c>
      <c r="I3" s="2" t="s">
        <v>41</v>
      </c>
      <c r="J3" s="2"/>
      <c r="K3" s="53" t="s">
        <v>234</v>
      </c>
      <c r="M3" s="2" t="s">
        <v>22</v>
      </c>
      <c r="N3" s="12" t="s">
        <v>23</v>
      </c>
      <c r="O3" s="8" t="s">
        <v>24</v>
      </c>
      <c r="P3" s="2" t="s">
        <v>25</v>
      </c>
      <c r="Q3" s="2" t="s">
        <v>55</v>
      </c>
    </row>
    <row r="4" spans="1:17" s="5" customFormat="1" ht="29" customHeight="1" x14ac:dyDescent="0.35">
      <c r="A4" s="21" t="s">
        <v>42</v>
      </c>
      <c r="B4" s="2" t="s">
        <v>43</v>
      </c>
      <c r="C4" s="21" t="s">
        <v>44</v>
      </c>
      <c r="D4" s="12" t="s">
        <v>45</v>
      </c>
      <c r="E4" s="19">
        <v>98335634</v>
      </c>
      <c r="F4" s="2" t="s">
        <v>21</v>
      </c>
      <c r="G4" s="2" t="s">
        <v>15</v>
      </c>
      <c r="H4" s="3">
        <v>503.5</v>
      </c>
      <c r="I4" s="2" t="s">
        <v>41</v>
      </c>
      <c r="J4" s="2"/>
      <c r="K4" s="53" t="s">
        <v>234</v>
      </c>
      <c r="L4" s="2"/>
      <c r="M4" s="2" t="s">
        <v>22</v>
      </c>
      <c r="N4" s="12" t="s">
        <v>23</v>
      </c>
      <c r="O4" s="8" t="s">
        <v>24</v>
      </c>
      <c r="P4" s="2" t="s">
        <v>25</v>
      </c>
      <c r="Q4" s="2" t="s">
        <v>55</v>
      </c>
    </row>
    <row r="5" spans="1:17" s="5" customFormat="1" ht="29" customHeight="1" x14ac:dyDescent="0.35">
      <c r="A5" s="17" t="s">
        <v>47</v>
      </c>
      <c r="B5" s="18" t="s">
        <v>48</v>
      </c>
      <c r="C5" s="17" t="s">
        <v>49</v>
      </c>
      <c r="D5" s="4" t="s">
        <v>50</v>
      </c>
      <c r="E5" s="2">
        <v>90069029</v>
      </c>
      <c r="F5" s="2" t="s">
        <v>21</v>
      </c>
      <c r="G5" s="2" t="s">
        <v>15</v>
      </c>
      <c r="H5" s="3">
        <v>503.5</v>
      </c>
      <c r="I5" s="2" t="s">
        <v>41</v>
      </c>
      <c r="J5" s="1"/>
      <c r="K5" s="53" t="s">
        <v>234</v>
      </c>
      <c r="L5" s="20"/>
      <c r="M5" s="2" t="s">
        <v>22</v>
      </c>
      <c r="N5" s="12" t="s">
        <v>23</v>
      </c>
      <c r="O5" s="8" t="s">
        <v>24</v>
      </c>
      <c r="P5" s="2" t="s">
        <v>25</v>
      </c>
      <c r="Q5" s="2" t="s">
        <v>55</v>
      </c>
    </row>
    <row r="6" spans="1:17" s="5" customFormat="1" ht="29" customHeight="1" x14ac:dyDescent="0.35">
      <c r="A6" s="21" t="s">
        <v>54</v>
      </c>
      <c r="B6" s="18" t="s">
        <v>51</v>
      </c>
      <c r="C6" s="18" t="s">
        <v>52</v>
      </c>
      <c r="D6" s="12" t="s">
        <v>53</v>
      </c>
      <c r="E6" s="19">
        <v>94385388</v>
      </c>
      <c r="F6" s="2" t="s">
        <v>21</v>
      </c>
      <c r="G6" s="2" t="s">
        <v>15</v>
      </c>
      <c r="H6" s="3">
        <v>503.5</v>
      </c>
      <c r="I6" s="2" t="s">
        <v>41</v>
      </c>
      <c r="J6" s="2"/>
      <c r="K6" s="53" t="s">
        <v>234</v>
      </c>
      <c r="L6" s="2"/>
      <c r="M6" s="2" t="s">
        <v>22</v>
      </c>
      <c r="N6" s="12" t="s">
        <v>23</v>
      </c>
      <c r="O6" s="8" t="s">
        <v>24</v>
      </c>
      <c r="P6" s="2" t="s">
        <v>25</v>
      </c>
      <c r="Q6" s="2" t="s">
        <v>55</v>
      </c>
    </row>
    <row r="7" spans="1:17" s="5" customFormat="1" ht="29" customHeight="1" x14ac:dyDescent="0.35">
      <c r="A7" s="47" t="s">
        <v>56</v>
      </c>
      <c r="B7" s="46" t="s">
        <v>57</v>
      </c>
      <c r="C7" s="47" t="s">
        <v>58</v>
      </c>
      <c r="D7" s="47" t="s">
        <v>59</v>
      </c>
      <c r="E7" s="48">
        <v>92308468</v>
      </c>
      <c r="F7" s="2" t="s">
        <v>21</v>
      </c>
      <c r="G7" s="2" t="s">
        <v>15</v>
      </c>
      <c r="H7" s="3">
        <v>503.5</v>
      </c>
      <c r="I7" s="2" t="s">
        <v>41</v>
      </c>
      <c r="J7" s="2"/>
      <c r="K7" s="53" t="s">
        <v>234</v>
      </c>
      <c r="L7" s="2"/>
      <c r="M7" s="2" t="s">
        <v>22</v>
      </c>
      <c r="N7" s="12" t="s">
        <v>23</v>
      </c>
      <c r="O7" s="8" t="s">
        <v>24</v>
      </c>
      <c r="P7" s="2" t="s">
        <v>25</v>
      </c>
      <c r="Q7" s="2" t="s">
        <v>68</v>
      </c>
    </row>
    <row r="8" spans="1:17" s="5" customFormat="1" ht="29" customHeight="1" x14ac:dyDescent="0.35">
      <c r="A8" s="21" t="s">
        <v>60</v>
      </c>
      <c r="B8" s="18" t="s">
        <v>61</v>
      </c>
      <c r="C8" s="18" t="s">
        <v>62</v>
      </c>
      <c r="D8" s="12" t="s">
        <v>63</v>
      </c>
      <c r="E8" s="19">
        <v>96956035</v>
      </c>
      <c r="F8" s="2" t="s">
        <v>21</v>
      </c>
      <c r="G8" s="2" t="s">
        <v>15</v>
      </c>
      <c r="H8" s="3">
        <v>503.5</v>
      </c>
      <c r="I8" s="2" t="s">
        <v>41</v>
      </c>
      <c r="J8" s="2"/>
      <c r="K8" s="53" t="s">
        <v>234</v>
      </c>
      <c r="L8" s="2"/>
      <c r="M8" s="2" t="s">
        <v>22</v>
      </c>
      <c r="N8" s="12" t="s">
        <v>23</v>
      </c>
      <c r="O8" s="8" t="s">
        <v>24</v>
      </c>
      <c r="P8" s="2" t="s">
        <v>25</v>
      </c>
      <c r="Q8" s="2" t="s">
        <v>68</v>
      </c>
    </row>
    <row r="9" spans="1:17" s="5" customFormat="1" ht="29" customHeight="1" x14ac:dyDescent="0.35">
      <c r="A9" s="21" t="s">
        <v>64</v>
      </c>
      <c r="B9" s="18" t="s">
        <v>34</v>
      </c>
      <c r="C9" s="18" t="s">
        <v>62</v>
      </c>
      <c r="D9" s="12" t="s">
        <v>65</v>
      </c>
      <c r="E9" s="19">
        <v>93699677</v>
      </c>
      <c r="F9" s="2" t="s">
        <v>21</v>
      </c>
      <c r="G9" s="2" t="s">
        <v>15</v>
      </c>
      <c r="H9" s="3">
        <v>503.5</v>
      </c>
      <c r="I9" s="2" t="s">
        <v>41</v>
      </c>
      <c r="J9" s="2"/>
      <c r="K9" s="53" t="s">
        <v>234</v>
      </c>
      <c r="L9" s="2"/>
      <c r="M9" s="2" t="s">
        <v>22</v>
      </c>
      <c r="N9" s="12" t="s">
        <v>23</v>
      </c>
      <c r="O9" s="8" t="s">
        <v>24</v>
      </c>
      <c r="P9" s="2" t="s">
        <v>25</v>
      </c>
      <c r="Q9" s="2" t="s">
        <v>68</v>
      </c>
    </row>
    <row r="10" spans="1:17" s="5" customFormat="1" ht="29" customHeight="1" x14ac:dyDescent="0.35">
      <c r="A10" s="21" t="s">
        <v>66</v>
      </c>
      <c r="B10" s="18" t="s">
        <v>61</v>
      </c>
      <c r="C10" s="18" t="s">
        <v>62</v>
      </c>
      <c r="D10" s="12" t="s">
        <v>67</v>
      </c>
      <c r="E10" s="19">
        <v>97574459</v>
      </c>
      <c r="F10" s="2" t="s">
        <v>21</v>
      </c>
      <c r="G10" s="2" t="s">
        <v>15</v>
      </c>
      <c r="H10" s="3">
        <v>503.5</v>
      </c>
      <c r="I10" s="2" t="s">
        <v>41</v>
      </c>
      <c r="J10" s="49"/>
      <c r="K10" s="53" t="s">
        <v>234</v>
      </c>
      <c r="L10" s="2"/>
      <c r="M10" s="2" t="s">
        <v>22</v>
      </c>
      <c r="N10" s="12" t="s">
        <v>23</v>
      </c>
      <c r="O10" s="8" t="s">
        <v>24</v>
      </c>
      <c r="P10" s="2" t="s">
        <v>25</v>
      </c>
      <c r="Q10" s="2" t="s">
        <v>68</v>
      </c>
    </row>
    <row r="11" spans="1:17" s="5" customFormat="1" ht="29" customHeight="1" x14ac:dyDescent="0.35">
      <c r="A11" s="22" t="s">
        <v>69</v>
      </c>
      <c r="B11" s="18" t="s">
        <v>34</v>
      </c>
      <c r="C11" s="18" t="s">
        <v>70</v>
      </c>
      <c r="D11" s="12" t="s">
        <v>71</v>
      </c>
      <c r="E11" s="19">
        <v>96932527</v>
      </c>
      <c r="F11" s="2" t="s">
        <v>21</v>
      </c>
      <c r="G11" s="2" t="s">
        <v>15</v>
      </c>
      <c r="H11" s="3">
        <v>503.5</v>
      </c>
      <c r="I11" s="2" t="s">
        <v>41</v>
      </c>
      <c r="J11" s="2"/>
      <c r="K11" s="53" t="s">
        <v>234</v>
      </c>
      <c r="L11" s="2"/>
      <c r="M11" s="2" t="s">
        <v>22</v>
      </c>
      <c r="N11" s="12" t="s">
        <v>23</v>
      </c>
      <c r="O11" s="8" t="s">
        <v>24</v>
      </c>
      <c r="P11" s="2" t="s">
        <v>25</v>
      </c>
      <c r="Q11" s="2" t="s">
        <v>72</v>
      </c>
    </row>
    <row r="12" spans="1:17" s="5" customFormat="1" ht="29" customHeight="1" x14ac:dyDescent="0.35">
      <c r="A12" s="22" t="s">
        <v>73</v>
      </c>
      <c r="B12" s="18" t="s">
        <v>74</v>
      </c>
      <c r="C12" s="18" t="s">
        <v>75</v>
      </c>
      <c r="D12" s="12" t="s">
        <v>76</v>
      </c>
      <c r="E12" s="19">
        <v>91124039</v>
      </c>
      <c r="F12" s="2" t="s">
        <v>21</v>
      </c>
      <c r="G12" s="2" t="s">
        <v>15</v>
      </c>
      <c r="H12" s="3">
        <v>530</v>
      </c>
      <c r="I12" s="2" t="s">
        <v>81</v>
      </c>
      <c r="J12" s="49" t="s">
        <v>86</v>
      </c>
      <c r="K12" s="53" t="s">
        <v>233</v>
      </c>
      <c r="L12" s="2"/>
      <c r="M12" s="2" t="s">
        <v>82</v>
      </c>
      <c r="N12" s="12" t="s">
        <v>83</v>
      </c>
      <c r="O12" s="8" t="s">
        <v>84</v>
      </c>
      <c r="P12" s="2">
        <v>98168080</v>
      </c>
      <c r="Q12" s="2" t="s">
        <v>85</v>
      </c>
    </row>
    <row r="13" spans="1:17" s="5" customFormat="1" ht="29" customHeight="1" x14ac:dyDescent="0.35">
      <c r="A13" s="22" t="s">
        <v>77</v>
      </c>
      <c r="B13" s="18" t="s">
        <v>74</v>
      </c>
      <c r="C13" s="18" t="s">
        <v>39</v>
      </c>
      <c r="D13" s="12" t="s">
        <v>78</v>
      </c>
      <c r="E13" s="19">
        <v>94575334</v>
      </c>
      <c r="F13" s="2" t="s">
        <v>21</v>
      </c>
      <c r="G13" s="2" t="s">
        <v>15</v>
      </c>
      <c r="H13" s="3">
        <v>530</v>
      </c>
      <c r="I13" s="2" t="s">
        <v>81</v>
      </c>
      <c r="J13" s="49" t="s">
        <v>86</v>
      </c>
      <c r="K13" s="53" t="s">
        <v>233</v>
      </c>
      <c r="L13" s="2"/>
      <c r="M13" s="2" t="s">
        <v>82</v>
      </c>
      <c r="N13" s="12" t="s">
        <v>83</v>
      </c>
      <c r="O13" s="8" t="s">
        <v>84</v>
      </c>
      <c r="P13" s="2">
        <v>98168080</v>
      </c>
      <c r="Q13" s="2" t="s">
        <v>85</v>
      </c>
    </row>
    <row r="14" spans="1:17" s="5" customFormat="1" ht="29" customHeight="1" x14ac:dyDescent="0.35">
      <c r="A14" s="22" t="s">
        <v>79</v>
      </c>
      <c r="B14" s="18" t="s">
        <v>74</v>
      </c>
      <c r="C14" s="18" t="s">
        <v>39</v>
      </c>
      <c r="D14" s="12" t="s">
        <v>80</v>
      </c>
      <c r="E14" s="19">
        <v>96430171</v>
      </c>
      <c r="F14" s="2" t="s">
        <v>21</v>
      </c>
      <c r="G14" s="2" t="s">
        <v>15</v>
      </c>
      <c r="H14" s="3">
        <v>530</v>
      </c>
      <c r="I14" s="2" t="s">
        <v>81</v>
      </c>
      <c r="J14" s="49" t="s">
        <v>86</v>
      </c>
      <c r="K14" s="53" t="s">
        <v>233</v>
      </c>
      <c r="L14" s="2"/>
      <c r="M14" s="2" t="s">
        <v>82</v>
      </c>
      <c r="N14" s="12" t="s">
        <v>83</v>
      </c>
      <c r="O14" s="8" t="s">
        <v>84</v>
      </c>
      <c r="P14" s="2">
        <v>98168080</v>
      </c>
      <c r="Q14" s="2" t="s">
        <v>85</v>
      </c>
    </row>
    <row r="15" spans="1:17" s="5" customFormat="1" ht="29" customHeight="1" x14ac:dyDescent="0.35">
      <c r="A15" s="22" t="s">
        <v>87</v>
      </c>
      <c r="B15" s="18" t="s">
        <v>88</v>
      </c>
      <c r="C15" s="18" t="s">
        <v>89</v>
      </c>
      <c r="D15" s="12" t="s">
        <v>207</v>
      </c>
      <c r="E15" s="19">
        <v>82827699</v>
      </c>
      <c r="F15" s="2" t="s">
        <v>21</v>
      </c>
      <c r="G15" s="2" t="s">
        <v>15</v>
      </c>
      <c r="H15" s="3">
        <v>503.5</v>
      </c>
      <c r="I15" s="2" t="s">
        <v>41</v>
      </c>
      <c r="J15" s="2"/>
      <c r="K15" s="53" t="s">
        <v>234</v>
      </c>
      <c r="L15" s="2"/>
      <c r="M15" s="2" t="s">
        <v>22</v>
      </c>
      <c r="N15" s="12" t="s">
        <v>23</v>
      </c>
      <c r="O15" s="8" t="s">
        <v>24</v>
      </c>
      <c r="P15" s="2" t="s">
        <v>25</v>
      </c>
      <c r="Q15" s="2" t="s">
        <v>72</v>
      </c>
    </row>
    <row r="16" spans="1:17" s="5" customFormat="1" ht="29" customHeight="1" x14ac:dyDescent="0.35">
      <c r="A16" s="22" t="s">
        <v>101</v>
      </c>
      <c r="B16" s="18" t="s">
        <v>90</v>
      </c>
      <c r="C16" s="18" t="s">
        <v>91</v>
      </c>
      <c r="D16" s="12" t="s">
        <v>92</v>
      </c>
      <c r="E16" s="19">
        <v>97834138</v>
      </c>
      <c r="F16" s="2" t="s">
        <v>21</v>
      </c>
      <c r="G16" s="2" t="s">
        <v>15</v>
      </c>
      <c r="H16" s="3">
        <v>530</v>
      </c>
      <c r="I16" s="2" t="s">
        <v>81</v>
      </c>
      <c r="J16" s="2"/>
      <c r="K16" s="53" t="s">
        <v>232</v>
      </c>
      <c r="L16" s="2"/>
      <c r="M16" s="2" t="s">
        <v>104</v>
      </c>
      <c r="N16" s="12" t="s">
        <v>109</v>
      </c>
      <c r="O16" s="8" t="s">
        <v>102</v>
      </c>
      <c r="P16" s="2" t="s">
        <v>110</v>
      </c>
      <c r="Q16" s="2" t="s">
        <v>112</v>
      </c>
    </row>
    <row r="17" spans="1:17" s="5" customFormat="1" ht="29" customHeight="1" x14ac:dyDescent="0.35">
      <c r="A17" s="22" t="s">
        <v>93</v>
      </c>
      <c r="B17" s="18" t="s">
        <v>94</v>
      </c>
      <c r="C17" s="18" t="s">
        <v>95</v>
      </c>
      <c r="D17" s="12" t="s">
        <v>96</v>
      </c>
      <c r="E17" s="19">
        <v>96268937</v>
      </c>
      <c r="F17" s="2" t="s">
        <v>21</v>
      </c>
      <c r="G17" s="2" t="s">
        <v>15</v>
      </c>
      <c r="H17" s="3">
        <v>530</v>
      </c>
      <c r="I17" s="2" t="s">
        <v>81</v>
      </c>
      <c r="J17" s="2"/>
      <c r="K17" s="53" t="s">
        <v>231</v>
      </c>
      <c r="L17" s="2"/>
      <c r="M17" s="2" t="s">
        <v>107</v>
      </c>
      <c r="N17" s="12" t="s">
        <v>106</v>
      </c>
      <c r="O17" s="50" t="s">
        <v>105</v>
      </c>
      <c r="P17" s="2">
        <v>81674697</v>
      </c>
      <c r="Q17" s="2" t="s">
        <v>113</v>
      </c>
    </row>
    <row r="18" spans="1:17" s="5" customFormat="1" ht="29" customHeight="1" x14ac:dyDescent="0.35">
      <c r="A18" s="22" t="s">
        <v>97</v>
      </c>
      <c r="B18" s="18" t="s">
        <v>98</v>
      </c>
      <c r="C18" s="18" t="s">
        <v>99</v>
      </c>
      <c r="D18" s="12" t="s">
        <v>100</v>
      </c>
      <c r="E18" s="19">
        <v>96551570</v>
      </c>
      <c r="F18" s="2" t="s">
        <v>21</v>
      </c>
      <c r="G18" s="2" t="s">
        <v>15</v>
      </c>
      <c r="H18" s="3">
        <v>530</v>
      </c>
      <c r="I18" s="2" t="s">
        <v>81</v>
      </c>
      <c r="J18" s="2"/>
      <c r="K18" s="53" t="s">
        <v>230</v>
      </c>
      <c r="L18" s="2"/>
      <c r="M18" s="2" t="s">
        <v>104</v>
      </c>
      <c r="N18" s="12" t="s">
        <v>108</v>
      </c>
      <c r="O18" s="8" t="s">
        <v>103</v>
      </c>
      <c r="P18" s="2" t="s">
        <v>111</v>
      </c>
      <c r="Q18" s="2" t="s">
        <v>113</v>
      </c>
    </row>
    <row r="19" spans="1:17" s="5" customFormat="1" ht="29" customHeight="1" x14ac:dyDescent="0.35">
      <c r="A19" s="22" t="s">
        <v>114</v>
      </c>
      <c r="B19" s="18" t="s">
        <v>115</v>
      </c>
      <c r="C19" s="18" t="s">
        <v>116</v>
      </c>
      <c r="D19" s="12" t="s">
        <v>117</v>
      </c>
      <c r="E19" s="19">
        <v>97126512</v>
      </c>
      <c r="F19" s="2" t="s">
        <v>21</v>
      </c>
      <c r="G19" s="2" t="s">
        <v>15</v>
      </c>
      <c r="H19" s="3">
        <v>530</v>
      </c>
      <c r="I19" s="2" t="s">
        <v>81</v>
      </c>
      <c r="J19" s="2"/>
      <c r="K19" s="53" t="s">
        <v>232</v>
      </c>
      <c r="L19" s="2"/>
      <c r="M19" s="2" t="s">
        <v>104</v>
      </c>
      <c r="N19" s="12" t="s">
        <v>109</v>
      </c>
      <c r="O19" s="8" t="s">
        <v>102</v>
      </c>
      <c r="P19" s="2" t="s">
        <v>110</v>
      </c>
      <c r="Q19" s="2" t="s">
        <v>131</v>
      </c>
    </row>
    <row r="20" spans="1:17" s="5" customFormat="1" ht="29" customHeight="1" x14ac:dyDescent="0.35">
      <c r="A20" s="22" t="s">
        <v>118</v>
      </c>
      <c r="B20" s="18" t="s">
        <v>119</v>
      </c>
      <c r="C20" s="18" t="s">
        <v>120</v>
      </c>
      <c r="D20" s="12" t="s">
        <v>121</v>
      </c>
      <c r="E20" s="19">
        <v>91885990</v>
      </c>
      <c r="F20" s="2" t="s">
        <v>21</v>
      </c>
      <c r="G20" s="2" t="s">
        <v>15</v>
      </c>
      <c r="H20" s="3">
        <v>530</v>
      </c>
      <c r="I20" s="2" t="s">
        <v>81</v>
      </c>
      <c r="J20" s="2"/>
      <c r="K20" s="53" t="s">
        <v>232</v>
      </c>
      <c r="L20" s="2"/>
      <c r="M20" s="2" t="s">
        <v>104</v>
      </c>
      <c r="N20" s="12" t="s">
        <v>109</v>
      </c>
      <c r="O20" s="8" t="s">
        <v>102</v>
      </c>
      <c r="P20" s="2" t="s">
        <v>110</v>
      </c>
      <c r="Q20" s="2" t="s">
        <v>131</v>
      </c>
    </row>
    <row r="21" spans="1:17" s="5" customFormat="1" ht="29" customHeight="1" x14ac:dyDescent="0.35">
      <c r="A21" s="22" t="s">
        <v>122</v>
      </c>
      <c r="B21" s="18" t="s">
        <v>123</v>
      </c>
      <c r="C21" s="18" t="s">
        <v>124</v>
      </c>
      <c r="D21" s="12" t="s">
        <v>125</v>
      </c>
      <c r="E21" s="19">
        <v>96256384</v>
      </c>
      <c r="F21" s="2" t="s">
        <v>21</v>
      </c>
      <c r="G21" s="2" t="s">
        <v>15</v>
      </c>
      <c r="H21" s="3">
        <v>530</v>
      </c>
      <c r="I21" s="2" t="s">
        <v>81</v>
      </c>
      <c r="J21" s="2"/>
      <c r="K21" s="53" t="s">
        <v>229</v>
      </c>
      <c r="L21" s="2"/>
      <c r="M21" s="2" t="s">
        <v>130</v>
      </c>
      <c r="N21" s="12" t="s">
        <v>208</v>
      </c>
      <c r="O21" s="4" t="s">
        <v>209</v>
      </c>
      <c r="P21" s="2" t="s">
        <v>210</v>
      </c>
      <c r="Q21" s="2" t="s">
        <v>131</v>
      </c>
    </row>
    <row r="22" spans="1:17" s="5" customFormat="1" ht="29" customHeight="1" x14ac:dyDescent="0.35">
      <c r="A22" s="22" t="s">
        <v>126</v>
      </c>
      <c r="B22" s="18" t="s">
        <v>127</v>
      </c>
      <c r="C22" s="18" t="s">
        <v>128</v>
      </c>
      <c r="D22" s="12" t="s">
        <v>129</v>
      </c>
      <c r="E22" s="19">
        <v>90124178</v>
      </c>
      <c r="F22" s="2" t="s">
        <v>21</v>
      </c>
      <c r="G22" s="2" t="s">
        <v>15</v>
      </c>
      <c r="H22" s="3">
        <v>503.5</v>
      </c>
      <c r="I22" s="2" t="s">
        <v>41</v>
      </c>
      <c r="J22" s="2"/>
      <c r="K22" s="53" t="s">
        <v>234</v>
      </c>
      <c r="L22" s="2"/>
      <c r="M22" s="2" t="s">
        <v>22</v>
      </c>
      <c r="N22" s="12" t="s">
        <v>23</v>
      </c>
      <c r="O22" s="8" t="s">
        <v>24</v>
      </c>
      <c r="P22" s="2" t="s">
        <v>25</v>
      </c>
      <c r="Q22" s="2" t="s">
        <v>131</v>
      </c>
    </row>
    <row r="23" spans="1:17" s="5" customFormat="1" ht="29" customHeight="1" x14ac:dyDescent="0.35">
      <c r="A23" s="22" t="s">
        <v>136</v>
      </c>
      <c r="B23" s="18" t="s">
        <v>133</v>
      </c>
      <c r="C23" s="18" t="s">
        <v>134</v>
      </c>
      <c r="D23" s="12" t="s">
        <v>135</v>
      </c>
      <c r="E23" s="19">
        <v>96734972</v>
      </c>
      <c r="F23" s="2" t="s">
        <v>21</v>
      </c>
      <c r="G23" s="2" t="s">
        <v>15</v>
      </c>
      <c r="H23" s="3">
        <v>530</v>
      </c>
      <c r="I23" s="2" t="s">
        <v>81</v>
      </c>
      <c r="J23" s="2"/>
      <c r="K23" s="53" t="s">
        <v>228</v>
      </c>
      <c r="L23" s="2"/>
      <c r="M23" s="2" t="s">
        <v>139</v>
      </c>
      <c r="N23" s="12" t="s">
        <v>137</v>
      </c>
      <c r="O23" s="8" t="s">
        <v>138</v>
      </c>
      <c r="P23" s="2" t="s">
        <v>140</v>
      </c>
      <c r="Q23" s="2" t="s">
        <v>150</v>
      </c>
    </row>
    <row r="24" spans="1:17" s="5" customFormat="1" ht="29" customHeight="1" x14ac:dyDescent="0.35">
      <c r="A24" s="22" t="s">
        <v>141</v>
      </c>
      <c r="B24" s="18" t="s">
        <v>142</v>
      </c>
      <c r="C24" s="18" t="s">
        <v>143</v>
      </c>
      <c r="D24" s="12" t="s">
        <v>144</v>
      </c>
      <c r="E24" s="19">
        <v>98214504</v>
      </c>
      <c r="F24" s="2" t="s">
        <v>21</v>
      </c>
      <c r="G24" s="2" t="s">
        <v>15</v>
      </c>
      <c r="H24" s="3">
        <v>530</v>
      </c>
      <c r="I24" s="2" t="s">
        <v>81</v>
      </c>
      <c r="J24" s="2"/>
      <c r="K24" s="53" t="s">
        <v>227</v>
      </c>
      <c r="L24" s="2"/>
      <c r="M24" s="2" t="s">
        <v>148</v>
      </c>
      <c r="N24" s="12" t="s">
        <v>145</v>
      </c>
      <c r="O24" s="8" t="s">
        <v>146</v>
      </c>
      <c r="P24" s="2" t="s">
        <v>147</v>
      </c>
      <c r="Q24" s="2" t="s">
        <v>149</v>
      </c>
    </row>
    <row r="25" spans="1:17" s="5" customFormat="1" ht="29" customHeight="1" x14ac:dyDescent="0.35">
      <c r="A25" s="22" t="s">
        <v>167</v>
      </c>
      <c r="B25" s="18" t="s">
        <v>151</v>
      </c>
      <c r="C25" s="18" t="s">
        <v>152</v>
      </c>
      <c r="D25" s="12" t="s">
        <v>153</v>
      </c>
      <c r="E25" s="19">
        <v>84819412</v>
      </c>
      <c r="F25" s="2" t="s">
        <v>21</v>
      </c>
      <c r="G25" s="2" t="s">
        <v>15</v>
      </c>
      <c r="H25" s="3">
        <v>503.5</v>
      </c>
      <c r="I25" s="2" t="s">
        <v>41</v>
      </c>
      <c r="J25" s="2"/>
      <c r="K25" s="53" t="s">
        <v>234</v>
      </c>
      <c r="L25" s="2"/>
      <c r="M25" s="2" t="s">
        <v>22</v>
      </c>
      <c r="N25" s="12" t="s">
        <v>23</v>
      </c>
      <c r="O25" s="8" t="s">
        <v>24</v>
      </c>
      <c r="P25" s="2" t="s">
        <v>25</v>
      </c>
      <c r="Q25" s="2" t="s">
        <v>181</v>
      </c>
    </row>
    <row r="26" spans="1:17" s="5" customFormat="1" ht="29" customHeight="1" x14ac:dyDescent="0.35">
      <c r="A26" s="22" t="s">
        <v>154</v>
      </c>
      <c r="B26" s="18" t="s">
        <v>155</v>
      </c>
      <c r="C26" s="18" t="s">
        <v>156</v>
      </c>
      <c r="D26" s="12" t="s">
        <v>157</v>
      </c>
      <c r="E26" s="19">
        <v>86123225</v>
      </c>
      <c r="F26" s="2" t="s">
        <v>21</v>
      </c>
      <c r="G26" s="2" t="s">
        <v>15</v>
      </c>
      <c r="H26" s="3">
        <v>503.5</v>
      </c>
      <c r="I26" s="2" t="s">
        <v>41</v>
      </c>
      <c r="J26" s="2"/>
      <c r="K26" s="53" t="s">
        <v>234</v>
      </c>
      <c r="L26" s="2"/>
      <c r="M26" s="2" t="s">
        <v>22</v>
      </c>
      <c r="N26" s="12" t="s">
        <v>23</v>
      </c>
      <c r="O26" s="8" t="s">
        <v>24</v>
      </c>
      <c r="P26" s="2" t="s">
        <v>25</v>
      </c>
      <c r="Q26" s="2" t="s">
        <v>181</v>
      </c>
    </row>
    <row r="27" spans="1:17" ht="29" customHeight="1" x14ac:dyDescent="0.35">
      <c r="A27" s="30" t="s">
        <v>14</v>
      </c>
      <c r="B27" s="31">
        <f>COUNTA(A2:A26)</f>
        <v>25</v>
      </c>
      <c r="C27" s="32"/>
      <c r="D27" s="33"/>
      <c r="E27" s="34"/>
      <c r="F27" s="7"/>
      <c r="G27" s="35" t="s">
        <v>14</v>
      </c>
      <c r="H27" s="36">
        <f>SUM(H2:H26)</f>
        <v>12879</v>
      </c>
      <c r="I27" s="9"/>
      <c r="J27" s="9"/>
      <c r="L27" s="7"/>
      <c r="M27" s="9"/>
      <c r="N27" s="39"/>
      <c r="O27" s="37"/>
      <c r="P27" s="7"/>
      <c r="Q27" s="9"/>
    </row>
    <row r="28" spans="1:17" s="27" customFormat="1" ht="52.25" customHeight="1" x14ac:dyDescent="0.35">
      <c r="A28" s="23"/>
      <c r="B28" s="24"/>
      <c r="C28" s="24" t="s">
        <v>132</v>
      </c>
      <c r="D28" s="13"/>
      <c r="E28" s="25"/>
      <c r="F28" s="5"/>
      <c r="G28" s="28"/>
      <c r="H28" s="29"/>
      <c r="I28" s="11"/>
      <c r="J28" s="11"/>
      <c r="K28" s="55"/>
      <c r="L28" s="5"/>
      <c r="M28" s="11"/>
      <c r="N28" s="13"/>
      <c r="O28" s="26"/>
      <c r="P28" s="5"/>
      <c r="Q28" s="11"/>
    </row>
    <row r="29" spans="1:17" s="27" customFormat="1" ht="29" customHeight="1" x14ac:dyDescent="0.35">
      <c r="A29" s="44" t="s">
        <v>19</v>
      </c>
      <c r="B29" s="24"/>
      <c r="C29" s="24"/>
      <c r="D29" s="13"/>
      <c r="E29" s="25"/>
      <c r="F29" s="5"/>
      <c r="G29" s="28"/>
      <c r="H29" s="29"/>
      <c r="I29" s="11"/>
      <c r="J29" s="11"/>
      <c r="K29" s="55"/>
      <c r="L29" s="5"/>
      <c r="M29" s="11"/>
      <c r="N29" s="13"/>
      <c r="O29" s="26"/>
      <c r="P29" s="5"/>
      <c r="Q29" s="11"/>
    </row>
    <row r="30" spans="1:17" s="5" customFormat="1" ht="29" customHeight="1" x14ac:dyDescent="0.35">
      <c r="A30" s="21" t="s">
        <v>170</v>
      </c>
      <c r="B30" s="18" t="s">
        <v>171</v>
      </c>
      <c r="C30" s="18" t="s">
        <v>168</v>
      </c>
      <c r="D30" s="12" t="s">
        <v>169</v>
      </c>
      <c r="E30" s="19">
        <v>83499466</v>
      </c>
      <c r="F30" s="2" t="s">
        <v>21</v>
      </c>
      <c r="G30" s="2" t="s">
        <v>15</v>
      </c>
      <c r="H30" s="3">
        <v>530</v>
      </c>
      <c r="I30" s="2" t="s">
        <v>81</v>
      </c>
      <c r="J30" s="2"/>
      <c r="K30" s="53"/>
      <c r="L30" s="2"/>
      <c r="M30" s="2" t="s">
        <v>148</v>
      </c>
      <c r="N30" s="12" t="s">
        <v>145</v>
      </c>
      <c r="O30" s="8" t="s">
        <v>146</v>
      </c>
      <c r="P30" s="2" t="s">
        <v>147</v>
      </c>
      <c r="Q30" s="2" t="s">
        <v>182</v>
      </c>
    </row>
    <row r="31" spans="1:17" s="5" customFormat="1" ht="29" customHeight="1" x14ac:dyDescent="0.35">
      <c r="A31" s="22" t="s">
        <v>175</v>
      </c>
      <c r="B31" s="18" t="s">
        <v>172</v>
      </c>
      <c r="C31" s="18" t="s">
        <v>173</v>
      </c>
      <c r="D31" s="12" t="s">
        <v>174</v>
      </c>
      <c r="E31" s="19">
        <v>88831283</v>
      </c>
      <c r="F31" s="2" t="s">
        <v>21</v>
      </c>
      <c r="G31" s="2" t="s">
        <v>15</v>
      </c>
      <c r="H31" s="3">
        <v>530</v>
      </c>
      <c r="I31" s="2" t="s">
        <v>81</v>
      </c>
      <c r="J31" s="2"/>
      <c r="K31" s="53"/>
      <c r="L31" s="2"/>
      <c r="M31" s="2" t="s">
        <v>22</v>
      </c>
      <c r="N31" s="12" t="s">
        <v>23</v>
      </c>
      <c r="O31" s="8" t="s">
        <v>24</v>
      </c>
      <c r="P31" s="2" t="s">
        <v>25</v>
      </c>
      <c r="Q31" s="2" t="s">
        <v>176</v>
      </c>
    </row>
    <row r="32" spans="1:17" s="5" customFormat="1" ht="29" customHeight="1" x14ac:dyDescent="0.35">
      <c r="A32" s="22" t="s">
        <v>177</v>
      </c>
      <c r="B32" s="18" t="s">
        <v>178</v>
      </c>
      <c r="C32" s="18" t="s">
        <v>179</v>
      </c>
      <c r="D32" s="12" t="s">
        <v>180</v>
      </c>
      <c r="E32" s="19">
        <v>81391425</v>
      </c>
      <c r="F32" s="2" t="s">
        <v>21</v>
      </c>
      <c r="G32" s="2" t="s">
        <v>15</v>
      </c>
      <c r="H32" s="3">
        <v>530</v>
      </c>
      <c r="I32" s="2" t="s">
        <v>81</v>
      </c>
      <c r="J32" s="2"/>
      <c r="K32" s="53"/>
      <c r="L32" s="2"/>
      <c r="M32" s="2" t="s">
        <v>22</v>
      </c>
      <c r="N32" s="12" t="s">
        <v>23</v>
      </c>
      <c r="O32" s="8" t="s">
        <v>24</v>
      </c>
      <c r="P32" s="2" t="s">
        <v>25</v>
      </c>
      <c r="Q32" s="2" t="s">
        <v>176</v>
      </c>
    </row>
    <row r="33" spans="1:17" s="5" customFormat="1" ht="29" customHeight="1" x14ac:dyDescent="0.35">
      <c r="A33" s="22" t="s">
        <v>184</v>
      </c>
      <c r="B33" s="18" t="s">
        <v>185</v>
      </c>
      <c r="C33" s="18" t="s">
        <v>186</v>
      </c>
      <c r="D33" s="12" t="s">
        <v>187</v>
      </c>
      <c r="E33" s="19">
        <v>81263789</v>
      </c>
      <c r="F33" s="2" t="s">
        <v>21</v>
      </c>
      <c r="G33" s="2" t="s">
        <v>15</v>
      </c>
      <c r="H33" s="3">
        <v>530</v>
      </c>
      <c r="I33" s="2" t="s">
        <v>81</v>
      </c>
      <c r="J33" s="2"/>
      <c r="K33" s="53"/>
      <c r="L33" s="2"/>
      <c r="M33" s="2" t="s">
        <v>194</v>
      </c>
      <c r="N33" s="12" t="s">
        <v>193</v>
      </c>
      <c r="O33" s="4" t="s">
        <v>192</v>
      </c>
      <c r="P33" s="2"/>
      <c r="Q33" s="2" t="s">
        <v>205</v>
      </c>
    </row>
    <row r="34" spans="1:17" s="5" customFormat="1" ht="29" customHeight="1" x14ac:dyDescent="0.35">
      <c r="A34" s="22" t="s">
        <v>188</v>
      </c>
      <c r="B34" s="18" t="s">
        <v>189</v>
      </c>
      <c r="C34" s="18" t="s">
        <v>190</v>
      </c>
      <c r="D34" s="12" t="s">
        <v>191</v>
      </c>
      <c r="E34" s="19">
        <v>97536304</v>
      </c>
      <c r="F34" s="2" t="s">
        <v>21</v>
      </c>
      <c r="G34" s="2" t="s">
        <v>15</v>
      </c>
      <c r="H34" s="3">
        <v>530</v>
      </c>
      <c r="I34" s="2" t="s">
        <v>81</v>
      </c>
      <c r="J34" s="2"/>
      <c r="K34" s="53"/>
      <c r="L34" s="2"/>
      <c r="M34" s="2" t="s">
        <v>194</v>
      </c>
      <c r="N34" s="12" t="s">
        <v>193</v>
      </c>
      <c r="O34" s="4" t="s">
        <v>192</v>
      </c>
      <c r="P34" s="2"/>
      <c r="Q34" s="2" t="s">
        <v>203</v>
      </c>
    </row>
    <row r="35" spans="1:17" s="5" customFormat="1" ht="29" customHeight="1" x14ac:dyDescent="0.35">
      <c r="A35" s="22" t="s">
        <v>195</v>
      </c>
      <c r="B35" s="18" t="s">
        <v>196</v>
      </c>
      <c r="C35" s="18" t="s">
        <v>197</v>
      </c>
      <c r="D35" s="12" t="s">
        <v>198</v>
      </c>
      <c r="E35" s="19" t="s">
        <v>199</v>
      </c>
      <c r="F35" s="2" t="s">
        <v>21</v>
      </c>
      <c r="G35" s="2" t="s">
        <v>15</v>
      </c>
      <c r="H35" s="3">
        <v>530</v>
      </c>
      <c r="I35" s="2" t="s">
        <v>81</v>
      </c>
      <c r="J35" s="2"/>
      <c r="K35" s="53"/>
      <c r="L35" s="2"/>
      <c r="M35" s="2" t="s">
        <v>194</v>
      </c>
      <c r="N35" s="12" t="s">
        <v>200</v>
      </c>
      <c r="O35" s="4" t="s">
        <v>201</v>
      </c>
      <c r="P35" s="2" t="s">
        <v>202</v>
      </c>
      <c r="Q35" s="2" t="s">
        <v>203</v>
      </c>
    </row>
    <row r="36" spans="1:17" s="5" customFormat="1" ht="29" customHeight="1" x14ac:dyDescent="0.35">
      <c r="A36" s="22" t="s">
        <v>211</v>
      </c>
      <c r="B36" s="18" t="s">
        <v>98</v>
      </c>
      <c r="C36" s="18" t="s">
        <v>213</v>
      </c>
      <c r="D36" s="52" t="s">
        <v>214</v>
      </c>
      <c r="E36" s="19" t="s">
        <v>212</v>
      </c>
      <c r="F36" s="2" t="s">
        <v>21</v>
      </c>
      <c r="G36" s="2" t="s">
        <v>15</v>
      </c>
      <c r="H36" s="3">
        <v>530</v>
      </c>
      <c r="I36" s="2" t="s">
        <v>81</v>
      </c>
      <c r="J36" s="2"/>
      <c r="K36" s="53"/>
      <c r="L36" s="2"/>
      <c r="M36" s="2"/>
      <c r="N36" s="12"/>
      <c r="O36" s="4"/>
      <c r="P36" s="2"/>
      <c r="Q36" s="2" t="s">
        <v>215</v>
      </c>
    </row>
    <row r="37" spans="1:17" s="5" customFormat="1" ht="29" customHeight="1" x14ac:dyDescent="0.35">
      <c r="A37" s="41"/>
      <c r="B37" s="42"/>
      <c r="C37" s="42"/>
      <c r="D37" s="38"/>
      <c r="E37" s="40"/>
      <c r="H37" s="29"/>
      <c r="K37" s="56"/>
      <c r="N37" s="38"/>
      <c r="O37" s="43"/>
    </row>
    <row r="38" spans="1:17" ht="30" customHeight="1" x14ac:dyDescent="0.35">
      <c r="A38" s="45" t="s">
        <v>20</v>
      </c>
    </row>
    <row r="39" spans="1:17" s="5" customFormat="1" ht="29" customHeight="1" x14ac:dyDescent="0.35">
      <c r="A39" s="21" t="s">
        <v>29</v>
      </c>
      <c r="B39" s="18" t="s">
        <v>26</v>
      </c>
      <c r="C39" s="18" t="s">
        <v>30</v>
      </c>
      <c r="D39" s="12" t="s">
        <v>31</v>
      </c>
      <c r="E39" s="19" t="s">
        <v>32</v>
      </c>
      <c r="F39" s="2" t="s">
        <v>21</v>
      </c>
      <c r="G39" s="1" t="s">
        <v>27</v>
      </c>
      <c r="H39" s="3"/>
      <c r="I39" s="2"/>
      <c r="J39" s="2"/>
      <c r="K39" s="53"/>
      <c r="L39" s="2"/>
      <c r="M39" s="1" t="s">
        <v>28</v>
      </c>
      <c r="N39" s="12" t="s">
        <v>28</v>
      </c>
      <c r="O39" s="8" t="s">
        <v>28</v>
      </c>
      <c r="P39" s="2" t="s">
        <v>28</v>
      </c>
      <c r="Q39" s="2" t="s">
        <v>33</v>
      </c>
    </row>
  </sheetData>
  <hyperlinks>
    <hyperlink ref="D36" r:id="rId1" xr:uid="{BBD5BDB2-2EBE-46FC-88DF-2C632F3915B7}"/>
  </hyperlinks>
  <pageMargins left="0.7" right="0.7" top="0.75" bottom="0.75" header="0.3" footer="0.3"/>
  <pageSetup paperSize="9" scale="7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81A18-6DBC-4CC1-9CD9-03384BE897EB}">
  <dimension ref="A1:Q35"/>
  <sheetViews>
    <sheetView topLeftCell="A3" zoomScale="80" zoomScaleNormal="80" workbookViewId="0">
      <selection activeCell="K24" sqref="K24"/>
    </sheetView>
  </sheetViews>
  <sheetFormatPr defaultColWidth="8.90625" defaultRowHeight="30" customHeight="1" x14ac:dyDescent="0.35"/>
  <cols>
    <col min="1" max="1" width="44.36328125" style="6" customWidth="1"/>
    <col min="2" max="2" width="24.453125" style="6" customWidth="1"/>
    <col min="3" max="3" width="31.453125" style="6" customWidth="1"/>
    <col min="4" max="4" width="38.08984375" style="7" customWidth="1"/>
    <col min="5" max="5" width="12.36328125" style="6" customWidth="1"/>
    <col min="6" max="6" width="10.54296875" style="6" customWidth="1"/>
    <col min="7" max="7" width="12.1796875" style="10" customWidth="1"/>
    <col min="8" max="8" width="16.81640625" style="6" customWidth="1"/>
    <col min="9" max="9" width="28.7265625" style="10" customWidth="1"/>
    <col min="10" max="10" width="20" style="10" customWidth="1"/>
    <col min="11" max="11" width="14.36328125" style="54" customWidth="1"/>
    <col min="12" max="12" width="18.81640625" style="6" customWidth="1"/>
    <col min="13" max="13" width="13.81640625" style="6" customWidth="1"/>
    <col min="14" max="14" width="29.90625" style="6" customWidth="1"/>
    <col min="15" max="15" width="29.81640625" style="6" customWidth="1"/>
    <col min="16" max="16" width="19.54296875" style="6" customWidth="1"/>
    <col min="17" max="17" width="41.36328125" style="10" bestFit="1" customWidth="1"/>
    <col min="18" max="16384" width="8.90625" style="6"/>
  </cols>
  <sheetData>
    <row r="1" spans="1:17" s="16" customFormat="1" ht="38" customHeight="1" x14ac:dyDescent="0.35">
      <c r="A1" s="14" t="s">
        <v>11</v>
      </c>
      <c r="B1" s="14" t="s">
        <v>3</v>
      </c>
      <c r="C1" s="14" t="s">
        <v>8</v>
      </c>
      <c r="D1" s="14" t="s">
        <v>7</v>
      </c>
      <c r="E1" s="14" t="s">
        <v>0</v>
      </c>
      <c r="F1" s="14" t="s">
        <v>6</v>
      </c>
      <c r="G1" s="14" t="s">
        <v>5</v>
      </c>
      <c r="H1" s="15" t="s">
        <v>4</v>
      </c>
      <c r="I1" s="14" t="s">
        <v>9</v>
      </c>
      <c r="J1" s="14" t="s">
        <v>16</v>
      </c>
      <c r="K1" s="14" t="s">
        <v>17</v>
      </c>
      <c r="L1" s="14" t="s">
        <v>18</v>
      </c>
      <c r="M1" s="14" t="s">
        <v>10</v>
      </c>
      <c r="N1" s="14" t="s">
        <v>1</v>
      </c>
      <c r="O1" s="14" t="s">
        <v>2</v>
      </c>
      <c r="P1" s="14" t="s">
        <v>12</v>
      </c>
      <c r="Q1" s="14" t="s">
        <v>13</v>
      </c>
    </row>
    <row r="2" spans="1:17" s="5" customFormat="1" ht="28" customHeight="1" x14ac:dyDescent="0.35">
      <c r="A2" s="21" t="s">
        <v>161</v>
      </c>
      <c r="B2" s="18" t="s">
        <v>158</v>
      </c>
      <c r="C2" s="21" t="s">
        <v>159</v>
      </c>
      <c r="D2" s="12" t="s">
        <v>160</v>
      </c>
      <c r="E2" s="2">
        <v>98465971</v>
      </c>
      <c r="F2" s="2" t="s">
        <v>21</v>
      </c>
      <c r="G2" s="2" t="s">
        <v>15</v>
      </c>
      <c r="H2" s="3">
        <v>503.5</v>
      </c>
      <c r="I2" s="2" t="s">
        <v>162</v>
      </c>
      <c r="J2" s="2"/>
      <c r="K2" s="53" t="s">
        <v>383</v>
      </c>
      <c r="L2" s="2"/>
      <c r="M2" s="2" t="s">
        <v>22</v>
      </c>
      <c r="N2" s="12" t="s">
        <v>23</v>
      </c>
      <c r="O2" s="8" t="s">
        <v>24</v>
      </c>
      <c r="P2" s="2" t="s">
        <v>25</v>
      </c>
      <c r="Q2" s="2" t="s">
        <v>183</v>
      </c>
    </row>
    <row r="3" spans="1:17" s="5" customFormat="1" ht="28" customHeight="1" x14ac:dyDescent="0.35">
      <c r="A3" s="21" t="s">
        <v>163</v>
      </c>
      <c r="B3" s="18" t="s">
        <v>164</v>
      </c>
      <c r="C3" s="18" t="s">
        <v>152</v>
      </c>
      <c r="D3" s="12" t="s">
        <v>165</v>
      </c>
      <c r="E3" s="12">
        <v>81210431</v>
      </c>
      <c r="F3" s="2" t="s">
        <v>21</v>
      </c>
      <c r="G3" s="2" t="s">
        <v>15</v>
      </c>
      <c r="H3" s="3">
        <v>503.5</v>
      </c>
      <c r="I3" s="2" t="s">
        <v>162</v>
      </c>
      <c r="J3" s="2"/>
      <c r="K3" s="53" t="s">
        <v>383</v>
      </c>
      <c r="M3" s="2" t="s">
        <v>22</v>
      </c>
      <c r="N3" s="12" t="s">
        <v>23</v>
      </c>
      <c r="O3" s="8" t="s">
        <v>24</v>
      </c>
      <c r="P3" s="2" t="s">
        <v>25</v>
      </c>
      <c r="Q3" s="2" t="s">
        <v>183</v>
      </c>
    </row>
    <row r="4" spans="1:17" s="5" customFormat="1" ht="29" customHeight="1" x14ac:dyDescent="0.35">
      <c r="A4" s="22" t="s">
        <v>175</v>
      </c>
      <c r="B4" s="18" t="s">
        <v>172</v>
      </c>
      <c r="C4" s="18" t="s">
        <v>173</v>
      </c>
      <c r="D4" s="12" t="s">
        <v>174</v>
      </c>
      <c r="E4" s="19">
        <v>88831283</v>
      </c>
      <c r="F4" s="2" t="s">
        <v>21</v>
      </c>
      <c r="G4" s="2" t="s">
        <v>15</v>
      </c>
      <c r="H4" s="3">
        <v>503.5</v>
      </c>
      <c r="I4" s="2" t="s">
        <v>162</v>
      </c>
      <c r="J4" s="2"/>
      <c r="K4" s="53" t="s">
        <v>383</v>
      </c>
      <c r="L4" s="2"/>
      <c r="M4" s="2" t="s">
        <v>22</v>
      </c>
      <c r="N4" s="12" t="s">
        <v>23</v>
      </c>
      <c r="O4" s="8" t="s">
        <v>24</v>
      </c>
      <c r="P4" s="2" t="s">
        <v>25</v>
      </c>
      <c r="Q4" s="1" t="s">
        <v>206</v>
      </c>
    </row>
    <row r="5" spans="1:17" s="5" customFormat="1" ht="29" customHeight="1" x14ac:dyDescent="0.35">
      <c r="A5" s="21" t="s">
        <v>216</v>
      </c>
      <c r="B5" s="18" t="s">
        <v>217</v>
      </c>
      <c r="C5" s="18" t="s">
        <v>218</v>
      </c>
      <c r="D5" s="12" t="s">
        <v>219</v>
      </c>
      <c r="E5" s="19">
        <v>98441863</v>
      </c>
      <c r="F5" s="2" t="s">
        <v>21</v>
      </c>
      <c r="G5" s="2" t="s">
        <v>15</v>
      </c>
      <c r="H5" s="3">
        <v>503.5</v>
      </c>
      <c r="I5" s="2" t="s">
        <v>162</v>
      </c>
      <c r="J5" s="2"/>
      <c r="K5" s="53" t="s">
        <v>386</v>
      </c>
      <c r="L5" s="2"/>
      <c r="M5" s="2" t="s">
        <v>220</v>
      </c>
      <c r="N5" s="12" t="s">
        <v>221</v>
      </c>
      <c r="O5" s="4" t="s">
        <v>222</v>
      </c>
      <c r="P5" s="2" t="s">
        <v>223</v>
      </c>
      <c r="Q5" s="2" t="s">
        <v>224</v>
      </c>
    </row>
    <row r="6" spans="1:17" s="5" customFormat="1" ht="29" customHeight="1" x14ac:dyDescent="0.35">
      <c r="A6" s="47" t="s">
        <v>239</v>
      </c>
      <c r="B6" s="46" t="s">
        <v>240</v>
      </c>
      <c r="C6" s="18" t="s">
        <v>241</v>
      </c>
      <c r="D6" s="12" t="s">
        <v>242</v>
      </c>
      <c r="E6" s="19">
        <v>96430316</v>
      </c>
      <c r="F6" s="2" t="s">
        <v>21</v>
      </c>
      <c r="G6" s="2" t="s">
        <v>15</v>
      </c>
      <c r="H6" s="3">
        <v>477</v>
      </c>
      <c r="I6" s="1" t="s">
        <v>265</v>
      </c>
      <c r="J6" s="2"/>
      <c r="K6" s="53" t="s">
        <v>385</v>
      </c>
      <c r="L6" s="2"/>
      <c r="M6" s="2" t="s">
        <v>245</v>
      </c>
      <c r="N6" s="12" t="s">
        <v>304</v>
      </c>
      <c r="O6" s="4" t="s">
        <v>246</v>
      </c>
      <c r="P6" s="2" t="s">
        <v>306</v>
      </c>
      <c r="Q6" s="2" t="s">
        <v>226</v>
      </c>
    </row>
    <row r="7" spans="1:17" s="5" customFormat="1" ht="29" customHeight="1" x14ac:dyDescent="0.35">
      <c r="A7" s="47" t="s">
        <v>243</v>
      </c>
      <c r="B7" s="46" t="s">
        <v>244</v>
      </c>
      <c r="C7" s="18" t="s">
        <v>241</v>
      </c>
      <c r="D7" s="12" t="s">
        <v>256</v>
      </c>
      <c r="E7" s="19">
        <v>97776435</v>
      </c>
      <c r="F7" s="2" t="s">
        <v>21</v>
      </c>
      <c r="G7" s="2" t="s">
        <v>15</v>
      </c>
      <c r="H7" s="3">
        <v>477</v>
      </c>
      <c r="I7" s="1" t="s">
        <v>265</v>
      </c>
      <c r="J7" s="2"/>
      <c r="K7" s="53" t="s">
        <v>385</v>
      </c>
      <c r="L7" s="2"/>
      <c r="M7" s="2" t="s">
        <v>245</v>
      </c>
      <c r="N7" s="12" t="s">
        <v>304</v>
      </c>
      <c r="O7" s="4" t="s">
        <v>246</v>
      </c>
      <c r="P7" s="2" t="s">
        <v>306</v>
      </c>
      <c r="Q7" s="2" t="s">
        <v>226</v>
      </c>
    </row>
    <row r="8" spans="1:17" s="5" customFormat="1" ht="29" customHeight="1" x14ac:dyDescent="0.35">
      <c r="A8" s="47" t="s">
        <v>257</v>
      </c>
      <c r="B8" s="46" t="s">
        <v>258</v>
      </c>
      <c r="C8" s="18" t="s">
        <v>259</v>
      </c>
      <c r="D8" s="12" t="s">
        <v>260</v>
      </c>
      <c r="E8" s="19">
        <v>65855283</v>
      </c>
      <c r="F8" s="2" t="s">
        <v>21</v>
      </c>
      <c r="G8" s="2" t="s">
        <v>15</v>
      </c>
      <c r="H8" s="3">
        <v>477</v>
      </c>
      <c r="I8" s="1" t="s">
        <v>265</v>
      </c>
      <c r="J8" s="49"/>
      <c r="K8" s="53" t="s">
        <v>385</v>
      </c>
      <c r="L8" s="2"/>
      <c r="M8" s="2" t="s">
        <v>245</v>
      </c>
      <c r="N8" s="12" t="s">
        <v>304</v>
      </c>
      <c r="O8" s="4" t="s">
        <v>246</v>
      </c>
      <c r="P8" s="2" t="s">
        <v>306</v>
      </c>
      <c r="Q8" s="2" t="s">
        <v>226</v>
      </c>
    </row>
    <row r="9" spans="1:17" s="5" customFormat="1" ht="29" customHeight="1" x14ac:dyDescent="0.35">
      <c r="A9" s="47" t="s">
        <v>261</v>
      </c>
      <c r="B9" s="46" t="s">
        <v>225</v>
      </c>
      <c r="C9" s="18" t="s">
        <v>266</v>
      </c>
      <c r="D9" s="12" t="s">
        <v>263</v>
      </c>
      <c r="E9" s="19">
        <v>97856260</v>
      </c>
      <c r="F9" s="2" t="s">
        <v>21</v>
      </c>
      <c r="G9" s="2" t="s">
        <v>15</v>
      </c>
      <c r="H9" s="3">
        <v>477</v>
      </c>
      <c r="I9" s="1" t="s">
        <v>265</v>
      </c>
      <c r="J9" s="2"/>
      <c r="K9" s="53" t="s">
        <v>385</v>
      </c>
      <c r="L9" s="2"/>
      <c r="M9" s="2" t="s">
        <v>245</v>
      </c>
      <c r="N9" s="12" t="s">
        <v>304</v>
      </c>
      <c r="O9" s="4" t="s">
        <v>246</v>
      </c>
      <c r="P9" s="2" t="s">
        <v>306</v>
      </c>
      <c r="Q9" s="2" t="s">
        <v>226</v>
      </c>
    </row>
    <row r="10" spans="1:17" s="5" customFormat="1" ht="29" customHeight="1" x14ac:dyDescent="0.35">
      <c r="A10" s="47" t="s">
        <v>262</v>
      </c>
      <c r="B10" s="46" t="s">
        <v>225</v>
      </c>
      <c r="C10" s="18" t="s">
        <v>267</v>
      </c>
      <c r="D10" s="12" t="s">
        <v>264</v>
      </c>
      <c r="E10" s="19">
        <v>97299950</v>
      </c>
      <c r="F10" s="2" t="s">
        <v>21</v>
      </c>
      <c r="G10" s="2" t="s">
        <v>15</v>
      </c>
      <c r="H10" s="3">
        <v>477</v>
      </c>
      <c r="I10" s="1" t="s">
        <v>265</v>
      </c>
      <c r="J10" s="49"/>
      <c r="K10" s="53" t="s">
        <v>385</v>
      </c>
      <c r="L10" s="2"/>
      <c r="M10" s="2" t="s">
        <v>245</v>
      </c>
      <c r="N10" s="12" t="s">
        <v>304</v>
      </c>
      <c r="O10" s="4" t="s">
        <v>246</v>
      </c>
      <c r="P10" s="2" t="s">
        <v>306</v>
      </c>
      <c r="Q10" s="2" t="s">
        <v>226</v>
      </c>
    </row>
    <row r="11" spans="1:17" s="5" customFormat="1" ht="29" customHeight="1" x14ac:dyDescent="0.35">
      <c r="A11" s="22" t="s">
        <v>248</v>
      </c>
      <c r="B11" s="18" t="s">
        <v>249</v>
      </c>
      <c r="C11" s="18" t="s">
        <v>250</v>
      </c>
      <c r="D11" s="12" t="s">
        <v>251</v>
      </c>
      <c r="E11" s="19">
        <v>91053145</v>
      </c>
      <c r="F11" s="2" t="s">
        <v>21</v>
      </c>
      <c r="G11" s="2" t="s">
        <v>15</v>
      </c>
      <c r="H11" s="3">
        <v>503.5</v>
      </c>
      <c r="I11" s="2" t="s">
        <v>162</v>
      </c>
      <c r="J11" s="49"/>
      <c r="K11" s="53" t="s">
        <v>388</v>
      </c>
      <c r="L11" s="2"/>
      <c r="M11" s="2" t="s">
        <v>194</v>
      </c>
      <c r="N11" s="12" t="s">
        <v>252</v>
      </c>
      <c r="O11" s="4" t="s">
        <v>253</v>
      </c>
      <c r="P11" s="2" t="s">
        <v>254</v>
      </c>
      <c r="Q11" s="2" t="s">
        <v>255</v>
      </c>
    </row>
    <row r="12" spans="1:17" s="5" customFormat="1" ht="29" customHeight="1" x14ac:dyDescent="0.35">
      <c r="A12" s="22" t="s">
        <v>271</v>
      </c>
      <c r="B12" s="18" t="s">
        <v>269</v>
      </c>
      <c r="C12" s="18" t="s">
        <v>270</v>
      </c>
      <c r="D12" s="12" t="s">
        <v>214</v>
      </c>
      <c r="E12" s="19">
        <v>97818165</v>
      </c>
      <c r="F12" s="2" t="s">
        <v>21</v>
      </c>
      <c r="G12" s="2" t="s">
        <v>15</v>
      </c>
      <c r="H12" s="3">
        <v>503.5</v>
      </c>
      <c r="I12" s="2" t="s">
        <v>162</v>
      </c>
      <c r="J12" s="49"/>
      <c r="K12" s="53" t="s">
        <v>384</v>
      </c>
      <c r="L12" s="2"/>
      <c r="M12" s="2" t="s">
        <v>104</v>
      </c>
      <c r="N12" s="12" t="s">
        <v>108</v>
      </c>
      <c r="O12" s="8" t="s">
        <v>103</v>
      </c>
      <c r="P12" s="2" t="s">
        <v>111</v>
      </c>
      <c r="Q12" s="2" t="s">
        <v>272</v>
      </c>
    </row>
    <row r="13" spans="1:17" s="5" customFormat="1" ht="29" customHeight="1" x14ac:dyDescent="0.35">
      <c r="A13" s="22" t="s">
        <v>280</v>
      </c>
      <c r="B13" s="18" t="s">
        <v>26</v>
      </c>
      <c r="C13" s="18" t="s">
        <v>281</v>
      </c>
      <c r="D13" s="12" t="s">
        <v>283</v>
      </c>
      <c r="E13" s="19" t="s">
        <v>282</v>
      </c>
      <c r="F13" s="2" t="s">
        <v>21</v>
      </c>
      <c r="G13" s="1" t="s">
        <v>27</v>
      </c>
      <c r="H13" s="3"/>
      <c r="I13" s="2"/>
      <c r="J13" s="2"/>
      <c r="K13" s="53"/>
      <c r="L13" s="2"/>
      <c r="M13" s="2" t="s">
        <v>26</v>
      </c>
      <c r="N13" s="12" t="s">
        <v>28</v>
      </c>
      <c r="O13" s="8" t="s">
        <v>28</v>
      </c>
      <c r="P13" s="2" t="s">
        <v>28</v>
      </c>
      <c r="Q13" s="2" t="s">
        <v>285</v>
      </c>
    </row>
    <row r="14" spans="1:17" s="5" customFormat="1" ht="29" customHeight="1" x14ac:dyDescent="0.35">
      <c r="A14" s="22" t="s">
        <v>382</v>
      </c>
      <c r="B14" s="18" t="s">
        <v>286</v>
      </c>
      <c r="C14" s="18" t="s">
        <v>250</v>
      </c>
      <c r="D14" s="12" t="s">
        <v>287</v>
      </c>
      <c r="E14" s="19">
        <v>94247813</v>
      </c>
      <c r="F14" s="2" t="s">
        <v>21</v>
      </c>
      <c r="G14" s="2" t="s">
        <v>15</v>
      </c>
      <c r="H14" s="3">
        <v>503.5</v>
      </c>
      <c r="I14" s="2" t="s">
        <v>162</v>
      </c>
      <c r="J14" s="2"/>
      <c r="K14" s="53" t="s">
        <v>388</v>
      </c>
      <c r="L14" s="2"/>
      <c r="M14" s="2" t="s">
        <v>194</v>
      </c>
      <c r="N14" s="12" t="s">
        <v>252</v>
      </c>
      <c r="O14" s="4" t="s">
        <v>253</v>
      </c>
      <c r="P14" s="2" t="s">
        <v>254</v>
      </c>
      <c r="Q14" s="2" t="s">
        <v>381</v>
      </c>
    </row>
    <row r="15" spans="1:17" s="5" customFormat="1" ht="29" customHeight="1" x14ac:dyDescent="0.35">
      <c r="A15" s="22" t="s">
        <v>365</v>
      </c>
      <c r="B15" s="18" t="s">
        <v>366</v>
      </c>
      <c r="C15" s="18" t="s">
        <v>367</v>
      </c>
      <c r="D15" s="12" t="s">
        <v>368</v>
      </c>
      <c r="E15" s="19">
        <v>81613035</v>
      </c>
      <c r="F15" s="2" t="s">
        <v>21</v>
      </c>
      <c r="G15" s="2" t="s">
        <v>15</v>
      </c>
      <c r="H15" s="3">
        <v>530</v>
      </c>
      <c r="I15" s="2" t="s">
        <v>81</v>
      </c>
      <c r="J15" s="2"/>
      <c r="K15" s="53" t="s">
        <v>387</v>
      </c>
      <c r="L15" s="2"/>
      <c r="M15" s="2" t="s">
        <v>310</v>
      </c>
      <c r="N15" s="12" t="s">
        <v>373</v>
      </c>
      <c r="O15" s="50" t="s">
        <v>374</v>
      </c>
      <c r="P15" s="2">
        <v>96188470</v>
      </c>
      <c r="Q15" s="1" t="s">
        <v>291</v>
      </c>
    </row>
    <row r="16" spans="1:17" s="5" customFormat="1" ht="29" customHeight="1" x14ac:dyDescent="0.35">
      <c r="A16" s="22" t="s">
        <v>369</v>
      </c>
      <c r="B16" s="18" t="s">
        <v>366</v>
      </c>
      <c r="C16" s="18" t="s">
        <v>370</v>
      </c>
      <c r="D16" s="12" t="s">
        <v>371</v>
      </c>
      <c r="E16" s="19">
        <v>96374529</v>
      </c>
      <c r="F16" s="2" t="s">
        <v>372</v>
      </c>
      <c r="G16" s="2" t="s">
        <v>15</v>
      </c>
      <c r="H16" s="3">
        <v>530</v>
      </c>
      <c r="I16" s="2" t="s">
        <v>81</v>
      </c>
      <c r="J16" s="2"/>
      <c r="K16" s="53" t="s">
        <v>387</v>
      </c>
      <c r="L16" s="2"/>
      <c r="M16" s="2" t="s">
        <v>310</v>
      </c>
      <c r="N16" s="12" t="s">
        <v>373</v>
      </c>
      <c r="O16" s="8" t="s">
        <v>374</v>
      </c>
      <c r="P16" s="2">
        <v>96188470</v>
      </c>
      <c r="Q16" s="1" t="s">
        <v>291</v>
      </c>
    </row>
    <row r="17" spans="1:17" s="5" customFormat="1" ht="29" customHeight="1" x14ac:dyDescent="0.35">
      <c r="A17" s="22" t="s">
        <v>292</v>
      </c>
      <c r="B17" s="18" t="s">
        <v>296</v>
      </c>
      <c r="C17" s="18" t="s">
        <v>297</v>
      </c>
      <c r="D17" s="57" t="s">
        <v>300</v>
      </c>
      <c r="E17" s="19">
        <v>97590397</v>
      </c>
      <c r="F17" s="2" t="s">
        <v>21</v>
      </c>
      <c r="G17" s="2" t="s">
        <v>15</v>
      </c>
      <c r="H17" s="3">
        <v>503.5</v>
      </c>
      <c r="I17" s="2" t="s">
        <v>41</v>
      </c>
      <c r="J17" s="2"/>
      <c r="K17" s="53" t="s">
        <v>385</v>
      </c>
      <c r="L17" s="2"/>
      <c r="M17" s="2" t="s">
        <v>245</v>
      </c>
      <c r="N17" s="12" t="s">
        <v>304</v>
      </c>
      <c r="O17" s="8" t="s">
        <v>305</v>
      </c>
      <c r="P17" s="2" t="s">
        <v>306</v>
      </c>
      <c r="Q17" s="2" t="s">
        <v>307</v>
      </c>
    </row>
    <row r="18" spans="1:17" s="5" customFormat="1" ht="29" customHeight="1" x14ac:dyDescent="0.35">
      <c r="A18" s="22" t="s">
        <v>293</v>
      </c>
      <c r="B18" s="18" t="s">
        <v>296</v>
      </c>
      <c r="C18" s="18" t="s">
        <v>298</v>
      </c>
      <c r="D18" s="57" t="s">
        <v>301</v>
      </c>
      <c r="E18" s="19">
        <v>85338001</v>
      </c>
      <c r="F18" s="2" t="s">
        <v>21</v>
      </c>
      <c r="G18" s="2" t="s">
        <v>15</v>
      </c>
      <c r="H18" s="3">
        <v>503.5</v>
      </c>
      <c r="I18" s="2" t="s">
        <v>41</v>
      </c>
      <c r="J18" s="2"/>
      <c r="K18" s="53" t="s">
        <v>385</v>
      </c>
      <c r="L18" s="2"/>
      <c r="M18" s="2" t="s">
        <v>245</v>
      </c>
      <c r="N18" s="12" t="s">
        <v>304</v>
      </c>
      <c r="O18" s="8" t="s">
        <v>305</v>
      </c>
      <c r="P18" s="2" t="s">
        <v>306</v>
      </c>
      <c r="Q18" s="2" t="s">
        <v>307</v>
      </c>
    </row>
    <row r="19" spans="1:17" s="5" customFormat="1" ht="29" customHeight="1" x14ac:dyDescent="0.35">
      <c r="A19" s="22" t="s">
        <v>294</v>
      </c>
      <c r="B19" s="18" t="s">
        <v>296</v>
      </c>
      <c r="C19" s="18" t="s">
        <v>299</v>
      </c>
      <c r="D19" s="57" t="s">
        <v>302</v>
      </c>
      <c r="E19" s="19">
        <v>96256425</v>
      </c>
      <c r="F19" s="2" t="s">
        <v>21</v>
      </c>
      <c r="G19" s="2" t="s">
        <v>15</v>
      </c>
      <c r="H19" s="3">
        <v>503.5</v>
      </c>
      <c r="I19" s="2" t="s">
        <v>41</v>
      </c>
      <c r="J19" s="2"/>
      <c r="K19" s="53" t="s">
        <v>385</v>
      </c>
      <c r="L19" s="2"/>
      <c r="M19" s="2" t="s">
        <v>245</v>
      </c>
      <c r="N19" s="12" t="s">
        <v>304</v>
      </c>
      <c r="O19" s="8" t="s">
        <v>305</v>
      </c>
      <c r="P19" s="2" t="s">
        <v>306</v>
      </c>
      <c r="Q19" s="2" t="s">
        <v>307</v>
      </c>
    </row>
    <row r="20" spans="1:17" s="5" customFormat="1" ht="29" customHeight="1" x14ac:dyDescent="0.35">
      <c r="A20" s="22" t="s">
        <v>295</v>
      </c>
      <c r="B20" s="18" t="s">
        <v>296</v>
      </c>
      <c r="C20" s="18" t="s">
        <v>299</v>
      </c>
      <c r="D20" s="57" t="s">
        <v>303</v>
      </c>
      <c r="E20" s="19">
        <v>84675858</v>
      </c>
      <c r="F20" s="2" t="s">
        <v>21</v>
      </c>
      <c r="G20" s="2" t="s">
        <v>15</v>
      </c>
      <c r="H20" s="3">
        <v>503.5</v>
      </c>
      <c r="I20" s="2" t="s">
        <v>41</v>
      </c>
      <c r="J20" s="2"/>
      <c r="K20" s="53" t="s">
        <v>385</v>
      </c>
      <c r="L20" s="2"/>
      <c r="M20" s="2" t="s">
        <v>245</v>
      </c>
      <c r="N20" s="12" t="s">
        <v>304</v>
      </c>
      <c r="O20" s="8" t="s">
        <v>305</v>
      </c>
      <c r="P20" s="2" t="s">
        <v>306</v>
      </c>
      <c r="Q20" s="2" t="s">
        <v>307</v>
      </c>
    </row>
    <row r="21" spans="1:17" s="5" customFormat="1" ht="29" customHeight="1" x14ac:dyDescent="0.35">
      <c r="A21" s="22" t="s">
        <v>312</v>
      </c>
      <c r="B21" s="18" t="s">
        <v>296</v>
      </c>
      <c r="C21" s="18" t="s">
        <v>297</v>
      </c>
      <c r="D21" s="57" t="s">
        <v>311</v>
      </c>
      <c r="E21" s="19">
        <v>97866716</v>
      </c>
      <c r="F21" s="2" t="s">
        <v>21</v>
      </c>
      <c r="G21" s="2" t="s">
        <v>15</v>
      </c>
      <c r="H21" s="3">
        <v>503.5</v>
      </c>
      <c r="I21" s="2" t="s">
        <v>41</v>
      </c>
      <c r="J21" s="2"/>
      <c r="K21" s="53" t="s">
        <v>385</v>
      </c>
      <c r="L21" s="2"/>
      <c r="M21" s="2" t="s">
        <v>245</v>
      </c>
      <c r="N21" s="12" t="s">
        <v>304</v>
      </c>
      <c r="O21" s="8" t="s">
        <v>305</v>
      </c>
      <c r="P21" s="2" t="s">
        <v>306</v>
      </c>
      <c r="Q21" s="2" t="s">
        <v>313</v>
      </c>
    </row>
    <row r="22" spans="1:17" s="5" customFormat="1" ht="29" customHeight="1" x14ac:dyDescent="0.35">
      <c r="A22" s="22" t="s">
        <v>314</v>
      </c>
      <c r="B22" s="18" t="s">
        <v>315</v>
      </c>
      <c r="C22" s="18" t="s">
        <v>297</v>
      </c>
      <c r="D22" s="57" t="s">
        <v>316</v>
      </c>
      <c r="E22" s="19">
        <v>98302896</v>
      </c>
      <c r="F22" s="2" t="s">
        <v>21</v>
      </c>
      <c r="G22" s="2" t="s">
        <v>15</v>
      </c>
      <c r="H22" s="3">
        <v>503.5</v>
      </c>
      <c r="I22" s="2" t="s">
        <v>41</v>
      </c>
      <c r="J22" s="2"/>
      <c r="K22" s="53" t="s">
        <v>385</v>
      </c>
      <c r="L22" s="2"/>
      <c r="M22" s="2" t="s">
        <v>245</v>
      </c>
      <c r="N22" s="12" t="s">
        <v>304</v>
      </c>
      <c r="O22" s="8" t="s">
        <v>305</v>
      </c>
      <c r="P22" s="2" t="s">
        <v>306</v>
      </c>
      <c r="Q22" s="2" t="s">
        <v>317</v>
      </c>
    </row>
    <row r="23" spans="1:17" s="5" customFormat="1" ht="29" customHeight="1" x14ac:dyDescent="0.35">
      <c r="A23" s="22" t="s">
        <v>184</v>
      </c>
      <c r="B23" s="18" t="s">
        <v>185</v>
      </c>
      <c r="C23" s="18" t="s">
        <v>186</v>
      </c>
      <c r="D23" s="12" t="s">
        <v>187</v>
      </c>
      <c r="E23" s="19">
        <v>81263789</v>
      </c>
      <c r="F23" s="2" t="s">
        <v>21</v>
      </c>
      <c r="G23" s="2" t="s">
        <v>15</v>
      </c>
      <c r="H23" s="3">
        <v>503.5</v>
      </c>
      <c r="I23" s="2" t="s">
        <v>162</v>
      </c>
      <c r="J23" s="2"/>
      <c r="K23" s="53" t="s">
        <v>389</v>
      </c>
      <c r="L23" s="2"/>
      <c r="M23" s="2" t="s">
        <v>194</v>
      </c>
      <c r="N23" s="12" t="s">
        <v>193</v>
      </c>
      <c r="O23" s="4" t="s">
        <v>192</v>
      </c>
      <c r="P23" s="2"/>
      <c r="Q23" s="1" t="s">
        <v>362</v>
      </c>
    </row>
    <row r="24" spans="1:17" ht="29" customHeight="1" x14ac:dyDescent="0.35">
      <c r="A24" s="30" t="s">
        <v>14</v>
      </c>
      <c r="B24" s="31">
        <f>COUNTA(A2:A23)</f>
        <v>22</v>
      </c>
      <c r="C24" s="32"/>
      <c r="D24" s="33"/>
      <c r="E24" s="34"/>
      <c r="F24" s="7"/>
      <c r="G24" s="35" t="s">
        <v>14</v>
      </c>
      <c r="H24" s="36">
        <f>SUM(H2:H23)</f>
        <v>10494</v>
      </c>
      <c r="I24" s="9"/>
      <c r="J24" s="9"/>
      <c r="L24" s="7"/>
      <c r="M24" s="9"/>
      <c r="N24" s="39"/>
      <c r="O24" s="37"/>
      <c r="P24" s="7"/>
      <c r="Q24" s="9"/>
    </row>
    <row r="25" spans="1:17" s="27" customFormat="1" ht="29.5" customHeight="1" x14ac:dyDescent="0.35">
      <c r="A25" s="23"/>
      <c r="B25" s="24"/>
      <c r="C25" s="59" t="s">
        <v>308</v>
      </c>
      <c r="D25" s="58" t="s">
        <v>309</v>
      </c>
      <c r="E25" s="25" t="s">
        <v>358</v>
      </c>
      <c r="F25" s="5"/>
      <c r="G25" s="28"/>
      <c r="H25" s="29"/>
      <c r="I25" s="11"/>
      <c r="J25" s="11"/>
      <c r="K25" s="55"/>
      <c r="L25" s="5"/>
      <c r="M25" s="11"/>
      <c r="N25" s="13"/>
      <c r="O25" s="26"/>
      <c r="P25" s="5"/>
      <c r="Q25" s="11"/>
    </row>
    <row r="26" spans="1:17" s="27" customFormat="1" ht="29" customHeight="1" x14ac:dyDescent="0.35">
      <c r="A26" s="44" t="s">
        <v>19</v>
      </c>
      <c r="B26" s="24"/>
      <c r="C26" s="24"/>
      <c r="D26" s="13"/>
      <c r="E26" s="25"/>
      <c r="F26" s="5"/>
      <c r="G26" s="28"/>
      <c r="H26" s="29"/>
      <c r="I26" s="11"/>
      <c r="J26" s="11"/>
      <c r="K26" s="55"/>
      <c r="L26" s="5"/>
      <c r="M26" s="11"/>
      <c r="N26" s="13"/>
      <c r="O26" s="26"/>
      <c r="P26" s="5"/>
      <c r="Q26" s="11"/>
    </row>
    <row r="27" spans="1:17" s="5" customFormat="1" ht="29" customHeight="1" x14ac:dyDescent="0.35">
      <c r="A27" s="21"/>
      <c r="B27" s="18"/>
      <c r="C27" s="18"/>
      <c r="D27" s="12"/>
      <c r="E27" s="19"/>
      <c r="F27" s="2"/>
      <c r="G27" s="2"/>
      <c r="H27" s="3"/>
      <c r="I27" s="2"/>
      <c r="J27" s="2"/>
      <c r="K27" s="53"/>
      <c r="L27" s="2"/>
      <c r="M27" s="1"/>
      <c r="N27" s="12"/>
      <c r="O27" s="8"/>
      <c r="P27" s="2"/>
      <c r="Q27" s="2"/>
    </row>
    <row r="28" spans="1:17" s="5" customFormat="1" ht="29" customHeight="1" x14ac:dyDescent="0.35">
      <c r="A28" s="22"/>
      <c r="B28" s="18"/>
      <c r="C28" s="18"/>
      <c r="D28" s="12"/>
      <c r="E28" s="19"/>
      <c r="F28" s="2"/>
      <c r="G28" s="2"/>
      <c r="H28" s="3"/>
      <c r="I28" s="2"/>
      <c r="J28" s="2"/>
      <c r="K28" s="53"/>
      <c r="L28" s="2"/>
      <c r="M28" s="2"/>
      <c r="N28" s="12"/>
      <c r="O28" s="8"/>
      <c r="P28" s="2"/>
      <c r="Q28" s="2"/>
    </row>
    <row r="29" spans="1:17" s="5" customFormat="1" ht="29" customHeight="1" x14ac:dyDescent="0.35">
      <c r="A29" s="41"/>
      <c r="B29" s="42"/>
      <c r="C29" s="42"/>
      <c r="D29" s="38"/>
      <c r="E29" s="40"/>
      <c r="H29" s="29"/>
      <c r="K29" s="56"/>
      <c r="N29" s="38"/>
      <c r="O29" s="43"/>
    </row>
    <row r="30" spans="1:17" ht="30" customHeight="1" x14ac:dyDescent="0.35">
      <c r="A30" s="45" t="s">
        <v>20</v>
      </c>
    </row>
    <row r="31" spans="1:17" s="5" customFormat="1" ht="29" customHeight="1" x14ac:dyDescent="0.35">
      <c r="A31" s="21" t="s">
        <v>29</v>
      </c>
      <c r="B31" s="18" t="s">
        <v>26</v>
      </c>
      <c r="C31" s="18" t="s">
        <v>30</v>
      </c>
      <c r="D31" s="12" t="s">
        <v>31</v>
      </c>
      <c r="E31" s="19" t="s">
        <v>32</v>
      </c>
      <c r="F31" s="2" t="s">
        <v>21</v>
      </c>
      <c r="G31" s="1" t="s">
        <v>27</v>
      </c>
      <c r="H31" s="3"/>
      <c r="I31" s="2"/>
      <c r="J31" s="2"/>
      <c r="K31" s="53"/>
      <c r="L31" s="2"/>
      <c r="M31" s="1" t="s">
        <v>28</v>
      </c>
      <c r="N31" s="12" t="s">
        <v>28</v>
      </c>
      <c r="O31" s="8" t="s">
        <v>28</v>
      </c>
      <c r="P31" s="2" t="s">
        <v>28</v>
      </c>
      <c r="Q31" s="2" t="s">
        <v>33</v>
      </c>
    </row>
    <row r="32" spans="1:17" s="5" customFormat="1" ht="29" customHeight="1" x14ac:dyDescent="0.35">
      <c r="A32" s="47" t="s">
        <v>235</v>
      </c>
      <c r="B32" s="46" t="s">
        <v>236</v>
      </c>
      <c r="C32" s="47" t="s">
        <v>237</v>
      </c>
      <c r="D32" s="47" t="s">
        <v>238</v>
      </c>
      <c r="E32" s="48">
        <v>97867382</v>
      </c>
      <c r="F32" s="2" t="s">
        <v>21</v>
      </c>
      <c r="G32" s="2" t="s">
        <v>15</v>
      </c>
      <c r="H32" s="3">
        <v>477</v>
      </c>
      <c r="I32" s="1" t="s">
        <v>265</v>
      </c>
      <c r="J32" s="2"/>
      <c r="K32" s="53"/>
      <c r="L32" s="2"/>
      <c r="M32" s="2" t="s">
        <v>245</v>
      </c>
      <c r="N32" s="12" t="s">
        <v>247</v>
      </c>
      <c r="O32" s="4" t="s">
        <v>246</v>
      </c>
      <c r="P32" s="2">
        <v>90011334</v>
      </c>
      <c r="Q32" s="1" t="s">
        <v>288</v>
      </c>
    </row>
    <row r="33" spans="1:17" s="5" customFormat="1" ht="29" customHeight="1" x14ac:dyDescent="0.35">
      <c r="A33" s="22" t="s">
        <v>321</v>
      </c>
      <c r="B33" s="18" t="s">
        <v>26</v>
      </c>
      <c r="C33" s="18" t="s">
        <v>322</v>
      </c>
      <c r="D33" s="12" t="s">
        <v>323</v>
      </c>
      <c r="E33" s="19" t="s">
        <v>324</v>
      </c>
      <c r="F33" s="2" t="s">
        <v>21</v>
      </c>
      <c r="G33" s="1" t="s">
        <v>27</v>
      </c>
      <c r="H33" s="3"/>
      <c r="I33" s="2"/>
      <c r="J33" s="2"/>
      <c r="K33" s="53"/>
      <c r="L33" s="2"/>
      <c r="M33" s="2" t="s">
        <v>26</v>
      </c>
      <c r="N33" s="12" t="s">
        <v>28</v>
      </c>
      <c r="O33" s="8" t="s">
        <v>28</v>
      </c>
      <c r="P33" s="2" t="s">
        <v>28</v>
      </c>
      <c r="Q33" s="1" t="s">
        <v>363</v>
      </c>
    </row>
    <row r="34" spans="1:17" s="5" customFormat="1" ht="29" customHeight="1" x14ac:dyDescent="0.35">
      <c r="A34" s="22" t="s">
        <v>289</v>
      </c>
      <c r="B34" s="18" t="s">
        <v>290</v>
      </c>
      <c r="C34" s="18"/>
      <c r="D34" s="12"/>
      <c r="E34" s="19"/>
      <c r="F34" s="2"/>
      <c r="G34" s="2"/>
      <c r="H34" s="3">
        <v>530</v>
      </c>
      <c r="I34" s="2" t="s">
        <v>81</v>
      </c>
      <c r="J34" s="2"/>
      <c r="K34" s="53"/>
      <c r="L34" s="2"/>
      <c r="M34" s="2" t="s">
        <v>310</v>
      </c>
      <c r="N34" s="12"/>
      <c r="O34" s="8"/>
      <c r="P34" s="2"/>
      <c r="Q34" s="1" t="s">
        <v>364</v>
      </c>
    </row>
    <row r="35" spans="1:17" s="5" customFormat="1" ht="29" customHeight="1" x14ac:dyDescent="0.35">
      <c r="A35" s="22" t="s">
        <v>289</v>
      </c>
      <c r="B35" s="18" t="s">
        <v>290</v>
      </c>
      <c r="C35" s="18"/>
      <c r="D35" s="12"/>
      <c r="E35" s="19"/>
      <c r="F35" s="2"/>
      <c r="G35" s="2"/>
      <c r="H35" s="3">
        <v>530</v>
      </c>
      <c r="I35" s="2" t="s">
        <v>81</v>
      </c>
      <c r="J35" s="2"/>
      <c r="K35" s="53"/>
      <c r="L35" s="2"/>
      <c r="M35" s="2" t="s">
        <v>310</v>
      </c>
      <c r="N35" s="12"/>
      <c r="O35" s="8"/>
      <c r="P35" s="2"/>
      <c r="Q35" s="1" t="s">
        <v>364</v>
      </c>
    </row>
  </sheetData>
  <pageMargins left="0.7" right="0.7" top="0.75" bottom="0.75" header="0.3" footer="0.3"/>
  <pageSetup paperSize="9" scale="7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26081-0715-41A7-905C-ED36DEAF49D5}">
  <dimension ref="A1:Q40"/>
  <sheetViews>
    <sheetView topLeftCell="G16" zoomScale="80" zoomScaleNormal="80" workbookViewId="0">
      <selection activeCell="C25" sqref="C25:D25"/>
    </sheetView>
  </sheetViews>
  <sheetFormatPr defaultColWidth="8.90625" defaultRowHeight="30" customHeight="1" x14ac:dyDescent="0.35"/>
  <cols>
    <col min="1" max="1" width="44.36328125" style="6" customWidth="1"/>
    <col min="2" max="2" width="24.453125" style="6" customWidth="1"/>
    <col min="3" max="3" width="31.453125" style="6" customWidth="1"/>
    <col min="4" max="4" width="38.08984375" style="7" customWidth="1"/>
    <col min="5" max="5" width="12.36328125" style="6" customWidth="1"/>
    <col min="6" max="6" width="10.54296875" style="6" customWidth="1"/>
    <col min="7" max="7" width="12.1796875" style="10" customWidth="1"/>
    <col min="8" max="8" width="16.81640625" style="6" customWidth="1"/>
    <col min="9" max="9" width="28.7265625" style="10" customWidth="1"/>
    <col min="10" max="10" width="20" style="10" customWidth="1"/>
    <col min="11" max="11" width="18" style="10" customWidth="1"/>
    <col min="12" max="12" width="18.81640625" style="6" customWidth="1"/>
    <col min="13" max="13" width="13.81640625" style="6" customWidth="1"/>
    <col min="14" max="14" width="29.90625" style="6" customWidth="1"/>
    <col min="15" max="15" width="29.81640625" style="6" customWidth="1"/>
    <col min="16" max="16" width="19.54296875" style="6" customWidth="1"/>
    <col min="17" max="17" width="41.36328125" style="10" bestFit="1" customWidth="1"/>
    <col min="18" max="16384" width="8.90625" style="6"/>
  </cols>
  <sheetData>
    <row r="1" spans="1:17" s="16" customFormat="1" ht="38" customHeight="1" x14ac:dyDescent="0.35">
      <c r="A1" s="14" t="s">
        <v>11</v>
      </c>
      <c r="B1" s="14" t="s">
        <v>3</v>
      </c>
      <c r="C1" s="14" t="s">
        <v>8</v>
      </c>
      <c r="D1" s="14" t="s">
        <v>7</v>
      </c>
      <c r="E1" s="14" t="s">
        <v>0</v>
      </c>
      <c r="F1" s="14" t="s">
        <v>6</v>
      </c>
      <c r="G1" s="14" t="s">
        <v>5</v>
      </c>
      <c r="H1" s="15" t="s">
        <v>4</v>
      </c>
      <c r="I1" s="14" t="s">
        <v>9</v>
      </c>
      <c r="J1" s="14" t="s">
        <v>16</v>
      </c>
      <c r="K1" s="14" t="s">
        <v>17</v>
      </c>
      <c r="L1" s="14" t="s">
        <v>18</v>
      </c>
      <c r="M1" s="14" t="s">
        <v>10</v>
      </c>
      <c r="N1" s="14" t="s">
        <v>1</v>
      </c>
      <c r="O1" s="14" t="s">
        <v>2</v>
      </c>
      <c r="P1" s="14" t="s">
        <v>12</v>
      </c>
      <c r="Q1" s="14" t="s">
        <v>13</v>
      </c>
    </row>
    <row r="2" spans="1:17" s="5" customFormat="1" ht="28" customHeight="1" x14ac:dyDescent="0.35">
      <c r="A2" s="22" t="s">
        <v>275</v>
      </c>
      <c r="B2" s="18" t="s">
        <v>34</v>
      </c>
      <c r="C2" s="18" t="s">
        <v>276</v>
      </c>
      <c r="D2" s="12" t="s">
        <v>277</v>
      </c>
      <c r="E2" s="19">
        <v>97100863</v>
      </c>
      <c r="F2" s="2" t="s">
        <v>21</v>
      </c>
      <c r="G2" s="2" t="s">
        <v>15</v>
      </c>
      <c r="H2" s="3">
        <v>477</v>
      </c>
      <c r="I2" s="1" t="s">
        <v>265</v>
      </c>
      <c r="J2" s="2"/>
      <c r="K2" s="63" t="s">
        <v>429</v>
      </c>
      <c r="M2" s="2" t="s">
        <v>22</v>
      </c>
      <c r="N2" s="12" t="s">
        <v>23</v>
      </c>
      <c r="O2" s="8" t="s">
        <v>24</v>
      </c>
      <c r="P2" s="2" t="s">
        <v>25</v>
      </c>
      <c r="Q2" s="2" t="s">
        <v>284</v>
      </c>
    </row>
    <row r="3" spans="1:17" s="5" customFormat="1" ht="29" customHeight="1" x14ac:dyDescent="0.35">
      <c r="A3" s="21" t="s">
        <v>278</v>
      </c>
      <c r="B3" s="2" t="s">
        <v>34</v>
      </c>
      <c r="C3" s="21" t="s">
        <v>237</v>
      </c>
      <c r="D3" s="12" t="s">
        <v>279</v>
      </c>
      <c r="E3" s="19">
        <v>97586358</v>
      </c>
      <c r="F3" s="2" t="s">
        <v>21</v>
      </c>
      <c r="G3" s="2" t="s">
        <v>15</v>
      </c>
      <c r="H3" s="3">
        <v>477</v>
      </c>
      <c r="I3" s="1" t="s">
        <v>265</v>
      </c>
      <c r="J3" s="2"/>
      <c r="K3" s="63" t="s">
        <v>429</v>
      </c>
      <c r="L3" s="2"/>
      <c r="M3" s="2" t="s">
        <v>22</v>
      </c>
      <c r="N3" s="12" t="s">
        <v>23</v>
      </c>
      <c r="O3" s="8" t="s">
        <v>24</v>
      </c>
      <c r="P3" s="2" t="s">
        <v>25</v>
      </c>
      <c r="Q3" s="2" t="s">
        <v>284</v>
      </c>
    </row>
    <row r="4" spans="1:17" s="5" customFormat="1" ht="29" customHeight="1" x14ac:dyDescent="0.35">
      <c r="A4" s="17" t="s">
        <v>325</v>
      </c>
      <c r="B4" s="18" t="s">
        <v>326</v>
      </c>
      <c r="C4" s="17" t="s">
        <v>327</v>
      </c>
      <c r="D4" s="4" t="s">
        <v>328</v>
      </c>
      <c r="E4" s="2">
        <v>98635438</v>
      </c>
      <c r="F4" s="2" t="s">
        <v>21</v>
      </c>
      <c r="G4" s="2" t="s">
        <v>15</v>
      </c>
      <c r="H4" s="3">
        <v>477</v>
      </c>
      <c r="I4" s="1" t="s">
        <v>320</v>
      </c>
      <c r="J4" s="60" t="s">
        <v>318</v>
      </c>
      <c r="K4" s="53" t="s">
        <v>430</v>
      </c>
      <c r="L4" s="20"/>
      <c r="M4" s="2" t="s">
        <v>82</v>
      </c>
      <c r="N4" s="12" t="s">
        <v>83</v>
      </c>
      <c r="O4" s="8" t="s">
        <v>84</v>
      </c>
      <c r="P4" s="2">
        <v>98168080</v>
      </c>
      <c r="Q4" s="1" t="s">
        <v>319</v>
      </c>
    </row>
    <row r="5" spans="1:17" s="5" customFormat="1" ht="29" customHeight="1" x14ac:dyDescent="0.35">
      <c r="A5" s="17" t="s">
        <v>329</v>
      </c>
      <c r="B5" s="18" t="s">
        <v>326</v>
      </c>
      <c r="C5" s="18" t="s">
        <v>39</v>
      </c>
      <c r="D5" s="12" t="s">
        <v>330</v>
      </c>
      <c r="E5" s="19">
        <v>91193616</v>
      </c>
      <c r="F5" s="2" t="s">
        <v>21</v>
      </c>
      <c r="G5" s="2" t="s">
        <v>15</v>
      </c>
      <c r="H5" s="3">
        <v>477</v>
      </c>
      <c r="I5" s="1" t="s">
        <v>320</v>
      </c>
      <c r="J5" s="60" t="s">
        <v>318</v>
      </c>
      <c r="K5" s="53" t="s">
        <v>430</v>
      </c>
      <c r="L5" s="2"/>
      <c r="M5" s="2" t="s">
        <v>82</v>
      </c>
      <c r="N5" s="12" t="s">
        <v>83</v>
      </c>
      <c r="O5" s="8" t="s">
        <v>84</v>
      </c>
      <c r="P5" s="2">
        <v>98168080</v>
      </c>
      <c r="Q5" s="1" t="s">
        <v>319</v>
      </c>
    </row>
    <row r="6" spans="1:17" s="5" customFormat="1" ht="29" customHeight="1" x14ac:dyDescent="0.35">
      <c r="A6" s="17" t="s">
        <v>331</v>
      </c>
      <c r="B6" s="18" t="s">
        <v>326</v>
      </c>
      <c r="C6" s="47" t="s">
        <v>332</v>
      </c>
      <c r="D6" s="47" t="s">
        <v>333</v>
      </c>
      <c r="E6" s="48">
        <v>96368331</v>
      </c>
      <c r="F6" s="2" t="s">
        <v>21</v>
      </c>
      <c r="G6" s="2" t="s">
        <v>15</v>
      </c>
      <c r="H6" s="3">
        <v>477</v>
      </c>
      <c r="I6" s="1" t="s">
        <v>320</v>
      </c>
      <c r="J6" s="60" t="s">
        <v>318</v>
      </c>
      <c r="K6" s="53" t="s">
        <v>430</v>
      </c>
      <c r="L6" s="2"/>
      <c r="M6" s="2" t="s">
        <v>82</v>
      </c>
      <c r="N6" s="12" t="s">
        <v>83</v>
      </c>
      <c r="O6" s="8" t="s">
        <v>84</v>
      </c>
      <c r="P6" s="2">
        <v>98168080</v>
      </c>
      <c r="Q6" s="1" t="s">
        <v>319</v>
      </c>
    </row>
    <row r="7" spans="1:17" s="5" customFormat="1" ht="29" customHeight="1" x14ac:dyDescent="0.35">
      <c r="A7" s="17" t="s">
        <v>334</v>
      </c>
      <c r="B7" s="18" t="s">
        <v>326</v>
      </c>
      <c r="C7" s="18" t="s">
        <v>332</v>
      </c>
      <c r="D7" s="12" t="s">
        <v>335</v>
      </c>
      <c r="E7" s="19">
        <v>81817242</v>
      </c>
      <c r="F7" s="2" t="s">
        <v>21</v>
      </c>
      <c r="G7" s="2" t="s">
        <v>15</v>
      </c>
      <c r="H7" s="3">
        <v>477</v>
      </c>
      <c r="I7" s="1" t="s">
        <v>320</v>
      </c>
      <c r="J7" s="60" t="s">
        <v>318</v>
      </c>
      <c r="K7" s="53" t="s">
        <v>430</v>
      </c>
      <c r="L7" s="2"/>
      <c r="M7" s="2" t="s">
        <v>82</v>
      </c>
      <c r="N7" s="12" t="s">
        <v>83</v>
      </c>
      <c r="O7" s="8" t="s">
        <v>84</v>
      </c>
      <c r="P7" s="2">
        <v>98168080</v>
      </c>
      <c r="Q7" s="1" t="s">
        <v>319</v>
      </c>
    </row>
    <row r="8" spans="1:17" s="5" customFormat="1" ht="29" customHeight="1" x14ac:dyDescent="0.35">
      <c r="A8" s="17" t="s">
        <v>336</v>
      </c>
      <c r="B8" s="18" t="s">
        <v>326</v>
      </c>
      <c r="C8" s="18" t="s">
        <v>332</v>
      </c>
      <c r="D8" s="12" t="s">
        <v>337</v>
      </c>
      <c r="E8" s="19">
        <v>91787569</v>
      </c>
      <c r="F8" s="2" t="s">
        <v>21</v>
      </c>
      <c r="G8" s="2" t="s">
        <v>15</v>
      </c>
      <c r="H8" s="3">
        <v>477</v>
      </c>
      <c r="I8" s="1" t="s">
        <v>320</v>
      </c>
      <c r="J8" s="60" t="s">
        <v>318</v>
      </c>
      <c r="K8" s="53" t="s">
        <v>430</v>
      </c>
      <c r="L8" s="2"/>
      <c r="M8" s="2" t="s">
        <v>82</v>
      </c>
      <c r="N8" s="12" t="s">
        <v>83</v>
      </c>
      <c r="O8" s="8" t="s">
        <v>84</v>
      </c>
      <c r="P8" s="2">
        <v>98168080</v>
      </c>
      <c r="Q8" s="1" t="s">
        <v>319</v>
      </c>
    </row>
    <row r="9" spans="1:17" s="5" customFormat="1" ht="29" customHeight="1" x14ac:dyDescent="0.35">
      <c r="A9" s="17" t="s">
        <v>338</v>
      </c>
      <c r="B9" s="18" t="s">
        <v>326</v>
      </c>
      <c r="C9" s="18" t="s">
        <v>332</v>
      </c>
      <c r="D9" s="12" t="s">
        <v>339</v>
      </c>
      <c r="E9" s="19">
        <v>97372985</v>
      </c>
      <c r="F9" s="2" t="s">
        <v>21</v>
      </c>
      <c r="G9" s="2" t="s">
        <v>15</v>
      </c>
      <c r="H9" s="3">
        <v>477</v>
      </c>
      <c r="I9" s="1" t="s">
        <v>320</v>
      </c>
      <c r="J9" s="60" t="s">
        <v>318</v>
      </c>
      <c r="K9" s="53" t="s">
        <v>430</v>
      </c>
      <c r="L9" s="2"/>
      <c r="M9" s="2" t="s">
        <v>82</v>
      </c>
      <c r="N9" s="12" t="s">
        <v>83</v>
      </c>
      <c r="O9" s="8" t="s">
        <v>84</v>
      </c>
      <c r="P9" s="2">
        <v>98168080</v>
      </c>
      <c r="Q9" s="1" t="s">
        <v>319</v>
      </c>
    </row>
    <row r="10" spans="1:17" s="5" customFormat="1" ht="29" customHeight="1" x14ac:dyDescent="0.35">
      <c r="A10" s="17" t="s">
        <v>340</v>
      </c>
      <c r="B10" s="18" t="s">
        <v>326</v>
      </c>
      <c r="C10" s="18" t="s">
        <v>332</v>
      </c>
      <c r="D10" s="12" t="s">
        <v>341</v>
      </c>
      <c r="E10" s="19">
        <v>83996000</v>
      </c>
      <c r="F10" s="2" t="s">
        <v>21</v>
      </c>
      <c r="G10" s="2" t="s">
        <v>15</v>
      </c>
      <c r="H10" s="3">
        <v>477</v>
      </c>
      <c r="I10" s="1" t="s">
        <v>320</v>
      </c>
      <c r="J10" s="60" t="s">
        <v>318</v>
      </c>
      <c r="K10" s="53" t="s">
        <v>430</v>
      </c>
      <c r="L10" s="2"/>
      <c r="M10" s="2" t="s">
        <v>82</v>
      </c>
      <c r="N10" s="12" t="s">
        <v>83</v>
      </c>
      <c r="O10" s="8" t="s">
        <v>84</v>
      </c>
      <c r="P10" s="2">
        <v>98168080</v>
      </c>
      <c r="Q10" s="1" t="s">
        <v>319</v>
      </c>
    </row>
    <row r="11" spans="1:17" s="5" customFormat="1" ht="29" customHeight="1" x14ac:dyDescent="0.35">
      <c r="A11" s="17" t="s">
        <v>344</v>
      </c>
      <c r="B11" s="18" t="s">
        <v>326</v>
      </c>
      <c r="C11" s="18" t="s">
        <v>332</v>
      </c>
      <c r="D11" s="12" t="s">
        <v>345</v>
      </c>
      <c r="E11" s="19">
        <v>93871260</v>
      </c>
      <c r="F11" s="2" t="s">
        <v>21</v>
      </c>
      <c r="G11" s="2" t="s">
        <v>15</v>
      </c>
      <c r="H11" s="3">
        <v>477</v>
      </c>
      <c r="I11" s="1" t="s">
        <v>320</v>
      </c>
      <c r="J11" s="60" t="s">
        <v>318</v>
      </c>
      <c r="K11" s="53" t="s">
        <v>430</v>
      </c>
      <c r="L11" s="2"/>
      <c r="M11" s="2" t="s">
        <v>82</v>
      </c>
      <c r="N11" s="12" t="s">
        <v>83</v>
      </c>
      <c r="O11" s="8" t="s">
        <v>84</v>
      </c>
      <c r="P11" s="2">
        <v>98168080</v>
      </c>
      <c r="Q11" s="1" t="s">
        <v>319</v>
      </c>
    </row>
    <row r="12" spans="1:17" s="5" customFormat="1" ht="29" customHeight="1" x14ac:dyDescent="0.35">
      <c r="A12" s="17" t="s">
        <v>410</v>
      </c>
      <c r="B12" s="18" t="s">
        <v>326</v>
      </c>
      <c r="C12" s="18" t="s">
        <v>332</v>
      </c>
      <c r="D12" s="12" t="s">
        <v>411</v>
      </c>
      <c r="E12" s="19" t="s">
        <v>412</v>
      </c>
      <c r="F12" s="2" t="s">
        <v>21</v>
      </c>
      <c r="G12" s="2" t="s">
        <v>15</v>
      </c>
      <c r="H12" s="3">
        <v>477</v>
      </c>
      <c r="I12" s="1" t="s">
        <v>320</v>
      </c>
      <c r="J12" s="60" t="s">
        <v>318</v>
      </c>
      <c r="K12" s="53" t="s">
        <v>430</v>
      </c>
      <c r="L12" s="2"/>
      <c r="M12" s="2" t="s">
        <v>82</v>
      </c>
      <c r="N12" s="12" t="s">
        <v>83</v>
      </c>
      <c r="O12" s="8" t="s">
        <v>84</v>
      </c>
      <c r="P12" s="2">
        <v>98168080</v>
      </c>
      <c r="Q12" s="1" t="s">
        <v>413</v>
      </c>
    </row>
    <row r="13" spans="1:17" s="5" customFormat="1" ht="29" customHeight="1" x14ac:dyDescent="0.35">
      <c r="A13" s="17" t="s">
        <v>349</v>
      </c>
      <c r="B13" s="18" t="s">
        <v>326</v>
      </c>
      <c r="C13" s="18" t="s">
        <v>332</v>
      </c>
      <c r="D13" s="12" t="s">
        <v>350</v>
      </c>
      <c r="E13" s="19">
        <v>94513553</v>
      </c>
      <c r="F13" s="2" t="s">
        <v>21</v>
      </c>
      <c r="G13" s="2" t="s">
        <v>15</v>
      </c>
      <c r="H13" s="3">
        <v>477</v>
      </c>
      <c r="I13" s="1" t="s">
        <v>320</v>
      </c>
      <c r="J13" s="60" t="s">
        <v>318</v>
      </c>
      <c r="K13" s="53" t="s">
        <v>430</v>
      </c>
      <c r="L13" s="2"/>
      <c r="M13" s="2" t="s">
        <v>82</v>
      </c>
      <c r="N13" s="12" t="s">
        <v>83</v>
      </c>
      <c r="O13" s="8" t="s">
        <v>84</v>
      </c>
      <c r="P13" s="2">
        <v>98168080</v>
      </c>
      <c r="Q13" s="1" t="s">
        <v>319</v>
      </c>
    </row>
    <row r="14" spans="1:17" s="5" customFormat="1" ht="29" customHeight="1" x14ac:dyDescent="0.35">
      <c r="A14" s="22" t="s">
        <v>351</v>
      </c>
      <c r="B14" s="18" t="s">
        <v>34</v>
      </c>
      <c r="C14" s="18" t="s">
        <v>62</v>
      </c>
      <c r="D14" s="12" t="s">
        <v>352</v>
      </c>
      <c r="E14" s="19">
        <v>98349240</v>
      </c>
      <c r="F14" s="2" t="s">
        <v>21</v>
      </c>
      <c r="G14" s="2" t="s">
        <v>15</v>
      </c>
      <c r="H14" s="3">
        <v>477</v>
      </c>
      <c r="I14" s="1" t="s">
        <v>265</v>
      </c>
      <c r="J14" s="2"/>
      <c r="K14" s="63" t="s">
        <v>429</v>
      </c>
      <c r="L14" s="2"/>
      <c r="M14" s="2" t="s">
        <v>22</v>
      </c>
      <c r="N14" s="12" t="s">
        <v>23</v>
      </c>
      <c r="O14" s="8" t="s">
        <v>24</v>
      </c>
      <c r="P14" s="2" t="s">
        <v>25</v>
      </c>
      <c r="Q14" s="2" t="s">
        <v>357</v>
      </c>
    </row>
    <row r="15" spans="1:17" s="5" customFormat="1" ht="29" customHeight="1" x14ac:dyDescent="0.35">
      <c r="A15" s="22" t="s">
        <v>353</v>
      </c>
      <c r="B15" s="18" t="s">
        <v>34</v>
      </c>
      <c r="C15" s="18" t="s">
        <v>116</v>
      </c>
      <c r="D15" s="12" t="s">
        <v>354</v>
      </c>
      <c r="E15" s="19">
        <v>92202479</v>
      </c>
      <c r="F15" s="2" t="s">
        <v>21</v>
      </c>
      <c r="G15" s="2" t="s">
        <v>15</v>
      </c>
      <c r="H15" s="3">
        <v>477</v>
      </c>
      <c r="I15" s="1" t="s">
        <v>265</v>
      </c>
      <c r="J15" s="2"/>
      <c r="K15" s="63" t="s">
        <v>429</v>
      </c>
      <c r="L15" s="2"/>
      <c r="M15" s="2" t="s">
        <v>22</v>
      </c>
      <c r="N15" s="12" t="s">
        <v>23</v>
      </c>
      <c r="O15" s="8" t="s">
        <v>24</v>
      </c>
      <c r="P15" s="2" t="s">
        <v>25</v>
      </c>
      <c r="Q15" s="2" t="s">
        <v>357</v>
      </c>
    </row>
    <row r="16" spans="1:17" s="5" customFormat="1" ht="29" customHeight="1" x14ac:dyDescent="0.35">
      <c r="A16" s="22" t="s">
        <v>355</v>
      </c>
      <c r="B16" s="18" t="s">
        <v>34</v>
      </c>
      <c r="C16" s="18" t="s">
        <v>116</v>
      </c>
      <c r="D16" s="12" t="s">
        <v>356</v>
      </c>
      <c r="E16" s="19">
        <v>97574889</v>
      </c>
      <c r="F16" s="2" t="s">
        <v>21</v>
      </c>
      <c r="G16" s="2" t="s">
        <v>15</v>
      </c>
      <c r="H16" s="3">
        <v>477</v>
      </c>
      <c r="I16" s="1" t="s">
        <v>265</v>
      </c>
      <c r="J16" s="2"/>
      <c r="K16" s="63" t="s">
        <v>429</v>
      </c>
      <c r="L16" s="2"/>
      <c r="M16" s="2" t="s">
        <v>22</v>
      </c>
      <c r="N16" s="12" t="s">
        <v>23</v>
      </c>
      <c r="O16" s="8" t="s">
        <v>24</v>
      </c>
      <c r="P16" s="2" t="s">
        <v>25</v>
      </c>
      <c r="Q16" s="2" t="s">
        <v>357</v>
      </c>
    </row>
    <row r="17" spans="1:17" s="5" customFormat="1" ht="29" customHeight="1" x14ac:dyDescent="0.35">
      <c r="A17" s="22" t="s">
        <v>321</v>
      </c>
      <c r="B17" s="18" t="s">
        <v>26</v>
      </c>
      <c r="C17" s="18" t="s">
        <v>322</v>
      </c>
      <c r="D17" s="12" t="s">
        <v>323</v>
      </c>
      <c r="E17" s="19" t="s">
        <v>324</v>
      </c>
      <c r="F17" s="2" t="s">
        <v>21</v>
      </c>
      <c r="G17" s="1" t="s">
        <v>27</v>
      </c>
      <c r="H17" s="3"/>
      <c r="I17" s="2"/>
      <c r="J17" s="2"/>
      <c r="K17" s="53"/>
      <c r="L17" s="2"/>
      <c r="M17" s="2" t="s">
        <v>28</v>
      </c>
      <c r="N17" s="12" t="s">
        <v>28</v>
      </c>
      <c r="O17" s="8" t="s">
        <v>28</v>
      </c>
      <c r="P17" s="2" t="s">
        <v>28</v>
      </c>
      <c r="Q17" s="1" t="s">
        <v>363</v>
      </c>
    </row>
    <row r="18" spans="1:17" s="5" customFormat="1" ht="29" customHeight="1" x14ac:dyDescent="0.35">
      <c r="A18" s="22" t="s">
        <v>376</v>
      </c>
      <c r="B18" s="18" t="s">
        <v>375</v>
      </c>
      <c r="C18" s="18" t="s">
        <v>377</v>
      </c>
      <c r="D18" s="50" t="s">
        <v>378</v>
      </c>
      <c r="E18" s="19">
        <v>96170384</v>
      </c>
      <c r="F18" s="2" t="s">
        <v>21</v>
      </c>
      <c r="G18" s="2" t="s">
        <v>15</v>
      </c>
      <c r="H18" s="3">
        <v>530</v>
      </c>
      <c r="I18" s="2" t="s">
        <v>81</v>
      </c>
      <c r="J18" s="2"/>
      <c r="K18" s="53" t="s">
        <v>431</v>
      </c>
      <c r="L18" s="2"/>
      <c r="M18" s="2" t="s">
        <v>245</v>
      </c>
      <c r="N18" s="12" t="s">
        <v>379</v>
      </c>
      <c r="O18" s="57" t="s">
        <v>246</v>
      </c>
      <c r="P18" s="2" t="s">
        <v>306</v>
      </c>
      <c r="Q18" s="2" t="s">
        <v>380</v>
      </c>
    </row>
    <row r="19" spans="1:17" s="5" customFormat="1" ht="29" customHeight="1" x14ac:dyDescent="0.35">
      <c r="A19" s="22" t="s">
        <v>390</v>
      </c>
      <c r="B19" s="18" t="s">
        <v>391</v>
      </c>
      <c r="C19" s="18" t="s">
        <v>392</v>
      </c>
      <c r="D19" s="12" t="s">
        <v>393</v>
      </c>
      <c r="E19" s="19">
        <v>97867382</v>
      </c>
      <c r="F19" s="2" t="s">
        <v>21</v>
      </c>
      <c r="G19" s="2" t="s">
        <v>15</v>
      </c>
      <c r="H19" s="3">
        <v>530</v>
      </c>
      <c r="I19" s="2" t="s">
        <v>81</v>
      </c>
      <c r="J19" s="2"/>
      <c r="K19" s="53" t="s">
        <v>431</v>
      </c>
      <c r="L19" s="2"/>
      <c r="M19" s="2" t="s">
        <v>245</v>
      </c>
      <c r="N19" s="12" t="s">
        <v>379</v>
      </c>
      <c r="O19" s="50" t="s">
        <v>246</v>
      </c>
      <c r="P19" s="2" t="s">
        <v>306</v>
      </c>
      <c r="Q19" s="2" t="s">
        <v>394</v>
      </c>
    </row>
    <row r="20" spans="1:17" s="5" customFormat="1" ht="29" customHeight="1" x14ac:dyDescent="0.35">
      <c r="A20" s="22" t="s">
        <v>416</v>
      </c>
      <c r="B20" s="18" t="s">
        <v>408</v>
      </c>
      <c r="C20" s="18" t="s">
        <v>408</v>
      </c>
      <c r="D20" s="12" t="s">
        <v>414</v>
      </c>
      <c r="E20" s="19">
        <v>93209715</v>
      </c>
      <c r="F20" s="2" t="s">
        <v>21</v>
      </c>
      <c r="G20" s="2" t="s">
        <v>15</v>
      </c>
      <c r="H20" s="3">
        <v>530</v>
      </c>
      <c r="I20" s="2" t="s">
        <v>403</v>
      </c>
      <c r="J20" s="2"/>
      <c r="K20" s="53" t="s">
        <v>432</v>
      </c>
      <c r="L20" s="2"/>
      <c r="M20" s="2" t="s">
        <v>418</v>
      </c>
      <c r="N20" s="12" t="s">
        <v>419</v>
      </c>
      <c r="O20" s="8" t="s">
        <v>420</v>
      </c>
      <c r="P20" s="2">
        <v>64734169</v>
      </c>
      <c r="Q20" s="1" t="s">
        <v>421</v>
      </c>
    </row>
    <row r="21" spans="1:17" s="5" customFormat="1" ht="29" customHeight="1" x14ac:dyDescent="0.35">
      <c r="A21" s="22" t="s">
        <v>417</v>
      </c>
      <c r="B21" s="18" t="s">
        <v>408</v>
      </c>
      <c r="C21" s="18" t="s">
        <v>408</v>
      </c>
      <c r="D21" s="12" t="s">
        <v>415</v>
      </c>
      <c r="E21" s="19">
        <v>87872078</v>
      </c>
      <c r="F21" s="2" t="s">
        <v>21</v>
      </c>
      <c r="G21" s="2" t="s">
        <v>15</v>
      </c>
      <c r="H21" s="3">
        <v>530</v>
      </c>
      <c r="I21" s="2" t="s">
        <v>403</v>
      </c>
      <c r="J21" s="2"/>
      <c r="K21" s="53" t="s">
        <v>432</v>
      </c>
      <c r="L21" s="2"/>
      <c r="M21" s="2" t="s">
        <v>418</v>
      </c>
      <c r="N21" s="12" t="s">
        <v>419</v>
      </c>
      <c r="O21" s="8" t="s">
        <v>420</v>
      </c>
      <c r="P21" s="2">
        <v>64734169</v>
      </c>
      <c r="Q21" s="1" t="s">
        <v>421</v>
      </c>
    </row>
    <row r="22" spans="1:17" s="5" customFormat="1" ht="29" customHeight="1" x14ac:dyDescent="0.35">
      <c r="A22" s="22" t="s">
        <v>422</v>
      </c>
      <c r="B22" s="18" t="s">
        <v>391</v>
      </c>
      <c r="C22" s="18" t="s">
        <v>259</v>
      </c>
      <c r="D22" s="12" t="s">
        <v>424</v>
      </c>
      <c r="E22" s="19">
        <v>96419474</v>
      </c>
      <c r="F22" s="2" t="s">
        <v>21</v>
      </c>
      <c r="G22" s="2" t="s">
        <v>15</v>
      </c>
      <c r="H22" s="3">
        <v>530</v>
      </c>
      <c r="I22" s="2" t="s">
        <v>403</v>
      </c>
      <c r="J22" s="2"/>
      <c r="K22" s="53" t="s">
        <v>431</v>
      </c>
      <c r="L22" s="2"/>
      <c r="M22" s="2" t="s">
        <v>245</v>
      </c>
      <c r="N22" s="12" t="s">
        <v>379</v>
      </c>
      <c r="O22" s="57" t="s">
        <v>246</v>
      </c>
      <c r="P22" s="2" t="s">
        <v>306</v>
      </c>
      <c r="Q22" s="2" t="s">
        <v>427</v>
      </c>
    </row>
    <row r="23" spans="1:17" s="5" customFormat="1" ht="29" customHeight="1" x14ac:dyDescent="0.35">
      <c r="A23" s="22" t="s">
        <v>423</v>
      </c>
      <c r="B23" s="18" t="s">
        <v>391</v>
      </c>
      <c r="C23" s="18" t="s">
        <v>426</v>
      </c>
      <c r="D23" s="12" t="s">
        <v>425</v>
      </c>
      <c r="E23" s="19">
        <v>96530323</v>
      </c>
      <c r="F23" s="2" t="s">
        <v>21</v>
      </c>
      <c r="G23" s="2" t="s">
        <v>15</v>
      </c>
      <c r="H23" s="3">
        <v>530</v>
      </c>
      <c r="I23" s="2" t="s">
        <v>403</v>
      </c>
      <c r="J23" s="2"/>
      <c r="K23" s="53" t="s">
        <v>431</v>
      </c>
      <c r="L23" s="2"/>
      <c r="M23" s="2" t="s">
        <v>245</v>
      </c>
      <c r="N23" s="12" t="s">
        <v>379</v>
      </c>
      <c r="O23" s="57" t="s">
        <v>246</v>
      </c>
      <c r="P23" s="2" t="s">
        <v>306</v>
      </c>
      <c r="Q23" s="2" t="s">
        <v>427</v>
      </c>
    </row>
    <row r="24" spans="1:17" ht="29" customHeight="1" x14ac:dyDescent="0.35">
      <c r="A24" s="30" t="s">
        <v>14</v>
      </c>
      <c r="B24" s="31">
        <f>COUNTA(A2:A23)</f>
        <v>22</v>
      </c>
      <c r="C24" s="32"/>
      <c r="D24" s="33"/>
      <c r="E24" s="34"/>
      <c r="F24" s="7"/>
      <c r="G24" s="35" t="s">
        <v>14</v>
      </c>
      <c r="H24" s="36">
        <f>SUM(H2:H23)</f>
        <v>10335</v>
      </c>
      <c r="I24" s="9"/>
      <c r="J24" s="9"/>
      <c r="K24" s="9"/>
      <c r="L24" s="7"/>
      <c r="M24" s="9"/>
      <c r="N24" s="39"/>
      <c r="O24" s="37"/>
      <c r="P24" s="7"/>
      <c r="Q24" s="9"/>
    </row>
    <row r="25" spans="1:17" s="27" customFormat="1" ht="30" customHeight="1" x14ac:dyDescent="0.35">
      <c r="A25" s="23"/>
      <c r="B25" s="24"/>
      <c r="C25" s="64" t="s">
        <v>166</v>
      </c>
      <c r="D25" s="64"/>
      <c r="E25" s="25"/>
      <c r="F25" s="5"/>
      <c r="G25" s="28"/>
      <c r="H25" s="29"/>
      <c r="I25" s="11"/>
      <c r="J25" s="11"/>
      <c r="K25" s="11"/>
      <c r="L25" s="5"/>
      <c r="M25" s="11"/>
      <c r="N25" s="13"/>
      <c r="O25" s="26"/>
      <c r="P25" s="5"/>
      <c r="Q25" s="11"/>
    </row>
    <row r="26" spans="1:17" s="27" customFormat="1" ht="25" customHeight="1" x14ac:dyDescent="0.35">
      <c r="A26" s="62" t="s">
        <v>428</v>
      </c>
      <c r="B26" s="24"/>
      <c r="C26" s="51"/>
      <c r="D26" s="13"/>
      <c r="E26" s="25"/>
      <c r="F26" s="5"/>
      <c r="G26" s="28"/>
      <c r="H26" s="29"/>
      <c r="I26" s="11"/>
      <c r="J26" s="11"/>
      <c r="K26" s="11"/>
      <c r="L26" s="5"/>
      <c r="M26" s="11"/>
      <c r="N26" s="13"/>
      <c r="O26" s="26"/>
      <c r="P26" s="5"/>
      <c r="Q26" s="11"/>
    </row>
    <row r="27" spans="1:17" s="5" customFormat="1" ht="29" customHeight="1" x14ac:dyDescent="0.35">
      <c r="A27" s="17" t="s">
        <v>342</v>
      </c>
      <c r="B27" s="18" t="s">
        <v>326</v>
      </c>
      <c r="C27" s="18" t="s">
        <v>332</v>
      </c>
      <c r="D27" s="12" t="s">
        <v>343</v>
      </c>
      <c r="E27" s="19">
        <v>97224455</v>
      </c>
      <c r="F27" s="2" t="s">
        <v>21</v>
      </c>
      <c r="G27" s="2" t="s">
        <v>15</v>
      </c>
      <c r="H27" s="3">
        <v>477</v>
      </c>
      <c r="I27" s="1" t="s">
        <v>320</v>
      </c>
      <c r="J27" s="60" t="s">
        <v>318</v>
      </c>
      <c r="K27" s="2"/>
      <c r="L27" s="2"/>
      <c r="M27" s="2" t="s">
        <v>82</v>
      </c>
      <c r="N27" s="12" t="s">
        <v>83</v>
      </c>
      <c r="O27" s="8" t="s">
        <v>84</v>
      </c>
      <c r="P27" s="2">
        <v>98168080</v>
      </c>
      <c r="Q27" s="1" t="s">
        <v>319</v>
      </c>
    </row>
    <row r="28" spans="1:17" s="27" customFormat="1" ht="30" customHeight="1" x14ac:dyDescent="0.35">
      <c r="A28" s="23"/>
      <c r="B28" s="24"/>
      <c r="C28" s="51"/>
      <c r="D28" s="13"/>
      <c r="E28" s="25"/>
      <c r="F28" s="5"/>
      <c r="G28" s="28"/>
      <c r="H28" s="29"/>
      <c r="I28" s="11"/>
      <c r="J28" s="11"/>
      <c r="K28" s="11"/>
      <c r="L28" s="5"/>
      <c r="M28" s="11"/>
      <c r="N28" s="13"/>
      <c r="O28" s="26"/>
      <c r="P28" s="5"/>
      <c r="Q28" s="11"/>
    </row>
    <row r="29" spans="1:17" s="27" customFormat="1" ht="29" customHeight="1" x14ac:dyDescent="0.35">
      <c r="A29" s="44" t="s">
        <v>19</v>
      </c>
      <c r="B29" s="24"/>
      <c r="C29" s="24"/>
      <c r="D29" s="13"/>
      <c r="E29" s="25"/>
      <c r="F29" s="5"/>
      <c r="G29" s="28"/>
      <c r="H29" s="29"/>
      <c r="I29" s="11"/>
      <c r="J29" s="11"/>
      <c r="K29" s="11"/>
      <c r="L29" s="5"/>
      <c r="M29" s="11"/>
      <c r="N29" s="13"/>
      <c r="O29" s="26"/>
      <c r="P29" s="5"/>
      <c r="Q29" s="11"/>
    </row>
    <row r="30" spans="1:17" s="5" customFormat="1" ht="29" customHeight="1" x14ac:dyDescent="0.35">
      <c r="A30" s="21"/>
      <c r="B30" s="18"/>
      <c r="C30" s="18"/>
      <c r="D30" s="12"/>
      <c r="E30" s="19"/>
      <c r="F30" s="2"/>
      <c r="G30" s="2"/>
      <c r="H30" s="3"/>
      <c r="I30" s="2"/>
      <c r="J30" s="2"/>
      <c r="K30" s="2"/>
      <c r="L30" s="2"/>
      <c r="M30" s="1"/>
      <c r="N30" s="12"/>
      <c r="O30" s="8"/>
      <c r="P30" s="2"/>
      <c r="Q30" s="2"/>
    </row>
    <row r="31" spans="1:17" s="5" customFormat="1" ht="29" customHeight="1" x14ac:dyDescent="0.35">
      <c r="A31" s="22"/>
      <c r="B31" s="18"/>
      <c r="C31" s="18"/>
      <c r="D31" s="12"/>
      <c r="E31" s="19"/>
      <c r="F31" s="2"/>
      <c r="G31" s="2"/>
      <c r="H31" s="3"/>
      <c r="I31" s="2"/>
      <c r="J31" s="2"/>
      <c r="K31" s="2"/>
      <c r="L31" s="2"/>
      <c r="M31" s="2"/>
      <c r="N31" s="12"/>
      <c r="O31" s="8"/>
      <c r="P31" s="2"/>
      <c r="Q31" s="2"/>
    </row>
    <row r="32" spans="1:17" s="5" customFormat="1" ht="29" customHeight="1" x14ac:dyDescent="0.35">
      <c r="A32" s="41"/>
      <c r="B32" s="42"/>
      <c r="C32" s="42"/>
      <c r="D32" s="38"/>
      <c r="E32" s="40"/>
      <c r="H32" s="29"/>
      <c r="N32" s="38"/>
      <c r="O32" s="43"/>
    </row>
    <row r="33" spans="1:17" ht="30" customHeight="1" x14ac:dyDescent="0.35">
      <c r="A33" s="45" t="s">
        <v>20</v>
      </c>
    </row>
    <row r="34" spans="1:17" s="5" customFormat="1" ht="28" customHeight="1" x14ac:dyDescent="0.35">
      <c r="A34" s="22" t="s">
        <v>188</v>
      </c>
      <c r="B34" s="18" t="s">
        <v>189</v>
      </c>
      <c r="C34" s="18" t="s">
        <v>190</v>
      </c>
      <c r="D34" s="12" t="s">
        <v>191</v>
      </c>
      <c r="E34" s="19">
        <v>97536304</v>
      </c>
      <c r="F34" s="2" t="s">
        <v>21</v>
      </c>
      <c r="G34" s="2" t="s">
        <v>15</v>
      </c>
      <c r="H34" s="3">
        <v>503.5</v>
      </c>
      <c r="I34" s="2" t="s">
        <v>162</v>
      </c>
      <c r="J34" s="2"/>
      <c r="K34" s="2"/>
      <c r="L34" s="2"/>
      <c r="M34" s="2" t="s">
        <v>194</v>
      </c>
      <c r="N34" s="12" t="s">
        <v>200</v>
      </c>
      <c r="O34" s="4" t="s">
        <v>201</v>
      </c>
      <c r="P34" s="2" t="s">
        <v>202</v>
      </c>
      <c r="Q34" s="1" t="s">
        <v>268</v>
      </c>
    </row>
    <row r="35" spans="1:17" s="5" customFormat="1" ht="28" customHeight="1" x14ac:dyDescent="0.35">
      <c r="A35" s="22" t="s">
        <v>204</v>
      </c>
      <c r="B35" s="18" t="s">
        <v>196</v>
      </c>
      <c r="C35" s="18" t="s">
        <v>197</v>
      </c>
      <c r="D35" s="12" t="s">
        <v>198</v>
      </c>
      <c r="E35" s="19" t="s">
        <v>199</v>
      </c>
      <c r="F35" s="2" t="s">
        <v>21</v>
      </c>
      <c r="G35" s="2" t="s">
        <v>15</v>
      </c>
      <c r="H35" s="3">
        <v>503.5</v>
      </c>
      <c r="I35" s="2" t="s">
        <v>162</v>
      </c>
      <c r="J35" s="2"/>
      <c r="K35" s="2"/>
      <c r="M35" s="2" t="s">
        <v>194</v>
      </c>
      <c r="N35" s="12" t="s">
        <v>200</v>
      </c>
      <c r="O35" s="4" t="s">
        <v>201</v>
      </c>
      <c r="P35" s="2" t="s">
        <v>202</v>
      </c>
      <c r="Q35" s="1" t="s">
        <v>268</v>
      </c>
    </row>
    <row r="36" spans="1:17" s="5" customFormat="1" ht="29" customHeight="1" x14ac:dyDescent="0.35">
      <c r="A36" s="17" t="s">
        <v>346</v>
      </c>
      <c r="B36" s="18" t="s">
        <v>326</v>
      </c>
      <c r="C36" s="18" t="s">
        <v>347</v>
      </c>
      <c r="D36" s="12" t="s">
        <v>348</v>
      </c>
      <c r="E36" s="19">
        <v>92777551</v>
      </c>
      <c r="F36" s="2" t="s">
        <v>21</v>
      </c>
      <c r="G36" s="2" t="s">
        <v>15</v>
      </c>
      <c r="H36" s="3">
        <v>477</v>
      </c>
      <c r="I36" s="1" t="s">
        <v>320</v>
      </c>
      <c r="J36" s="60" t="s">
        <v>318</v>
      </c>
      <c r="K36" s="2"/>
      <c r="L36" s="2"/>
      <c r="M36" s="2" t="s">
        <v>82</v>
      </c>
      <c r="N36" s="12" t="s">
        <v>83</v>
      </c>
      <c r="O36" s="8" t="s">
        <v>84</v>
      </c>
      <c r="P36" s="2">
        <v>98168080</v>
      </c>
      <c r="Q36" s="1" t="s">
        <v>319</v>
      </c>
    </row>
    <row r="37" spans="1:17" s="5" customFormat="1" ht="28" customHeight="1" x14ac:dyDescent="0.35">
      <c r="A37" s="22" t="s">
        <v>273</v>
      </c>
      <c r="B37" s="18" t="s">
        <v>34</v>
      </c>
      <c r="C37" s="18" t="s">
        <v>237</v>
      </c>
      <c r="D37" s="12" t="s">
        <v>274</v>
      </c>
      <c r="E37" s="19">
        <v>81027836</v>
      </c>
      <c r="F37" s="2" t="s">
        <v>21</v>
      </c>
      <c r="G37" s="2" t="s">
        <v>15</v>
      </c>
      <c r="H37" s="3">
        <v>477</v>
      </c>
      <c r="I37" s="1" t="s">
        <v>265</v>
      </c>
      <c r="J37" s="2"/>
      <c r="K37" s="2"/>
      <c r="L37" s="2"/>
      <c r="M37" s="2" t="s">
        <v>22</v>
      </c>
      <c r="N37" s="12" t="s">
        <v>23</v>
      </c>
      <c r="O37" s="8" t="s">
        <v>24</v>
      </c>
      <c r="P37" s="2" t="s">
        <v>25</v>
      </c>
      <c r="Q37" s="2" t="s">
        <v>405</v>
      </c>
    </row>
    <row r="38" spans="1:17" s="5" customFormat="1" ht="29" customHeight="1" x14ac:dyDescent="0.35">
      <c r="A38" s="17" t="s">
        <v>359</v>
      </c>
      <c r="B38" s="18" t="s">
        <v>326</v>
      </c>
      <c r="C38" s="18" t="s">
        <v>332</v>
      </c>
      <c r="D38" s="12" t="s">
        <v>360</v>
      </c>
      <c r="E38" s="19" t="s">
        <v>361</v>
      </c>
      <c r="F38" s="2" t="s">
        <v>21</v>
      </c>
      <c r="G38" s="2" t="s">
        <v>15</v>
      </c>
      <c r="H38" s="3">
        <v>477</v>
      </c>
      <c r="I38" s="1" t="s">
        <v>320</v>
      </c>
      <c r="J38" s="60" t="s">
        <v>318</v>
      </c>
      <c r="K38" s="2"/>
      <c r="L38" s="2"/>
      <c r="M38" s="2" t="s">
        <v>82</v>
      </c>
      <c r="N38" s="12" t="s">
        <v>83</v>
      </c>
      <c r="O38" s="8" t="s">
        <v>84</v>
      </c>
      <c r="P38" s="2">
        <v>98168080</v>
      </c>
      <c r="Q38" s="1" t="s">
        <v>409</v>
      </c>
    </row>
    <row r="39" spans="1:17" s="5" customFormat="1" ht="29" customHeight="1" x14ac:dyDescent="0.35">
      <c r="A39" s="61" t="s">
        <v>395</v>
      </c>
      <c r="B39" s="18" t="s">
        <v>396</v>
      </c>
      <c r="C39" s="18" t="s">
        <v>397</v>
      </c>
      <c r="D39" s="12" t="s">
        <v>398</v>
      </c>
      <c r="E39" s="19">
        <v>81282560</v>
      </c>
      <c r="F39" s="2" t="s">
        <v>372</v>
      </c>
      <c r="G39" s="1" t="s">
        <v>402</v>
      </c>
      <c r="H39" s="3">
        <v>530</v>
      </c>
      <c r="I39" s="2" t="s">
        <v>403</v>
      </c>
      <c r="J39" s="53" t="s">
        <v>406</v>
      </c>
      <c r="K39" s="53"/>
      <c r="L39" s="53"/>
      <c r="M39" s="2" t="s">
        <v>28</v>
      </c>
      <c r="N39" s="12" t="s">
        <v>28</v>
      </c>
      <c r="O39" s="8" t="s">
        <v>28</v>
      </c>
      <c r="P39" s="2" t="s">
        <v>28</v>
      </c>
      <c r="Q39" s="2" t="s">
        <v>404</v>
      </c>
    </row>
    <row r="40" spans="1:17" s="5" customFormat="1" ht="29" customHeight="1" x14ac:dyDescent="0.35">
      <c r="A40" s="61" t="s">
        <v>399</v>
      </c>
      <c r="B40" s="18" t="s">
        <v>396</v>
      </c>
      <c r="C40" s="18" t="s">
        <v>400</v>
      </c>
      <c r="D40" s="12" t="s">
        <v>401</v>
      </c>
      <c r="E40" s="19">
        <v>94519784</v>
      </c>
      <c r="F40" s="2" t="s">
        <v>372</v>
      </c>
      <c r="G40" s="1" t="s">
        <v>402</v>
      </c>
      <c r="H40" s="3">
        <v>530</v>
      </c>
      <c r="I40" s="2" t="s">
        <v>403</v>
      </c>
      <c r="J40" s="53" t="s">
        <v>407</v>
      </c>
      <c r="K40" s="53"/>
      <c r="L40" s="53"/>
      <c r="M40" s="2" t="s">
        <v>28</v>
      </c>
      <c r="N40" s="12" t="s">
        <v>28</v>
      </c>
      <c r="O40" s="8" t="s">
        <v>28</v>
      </c>
      <c r="P40" s="2" t="s">
        <v>28</v>
      </c>
      <c r="Q40" s="2" t="s">
        <v>404</v>
      </c>
    </row>
  </sheetData>
  <mergeCells count="1">
    <mergeCell ref="C25:D25"/>
  </mergeCells>
  <phoneticPr fontId="33" type="noConversion"/>
  <pageMargins left="0.7" right="0.7" top="0.75" bottom="0.75" header="0.3" footer="0.3"/>
  <pageSetup paperSize="9"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D59D-E168-4262-8FAA-8E4C62A524AC}">
  <dimension ref="A1:P24"/>
  <sheetViews>
    <sheetView topLeftCell="C3" zoomScale="80" zoomScaleNormal="80" workbookViewId="0">
      <selection activeCell="C11" sqref="C11"/>
    </sheetView>
  </sheetViews>
  <sheetFormatPr defaultColWidth="8.90625" defaultRowHeight="30" customHeight="1" x14ac:dyDescent="0.35"/>
  <cols>
    <col min="1" max="1" width="40.36328125" style="6" customWidth="1"/>
    <col min="2" max="2" width="24.453125" style="6" customWidth="1"/>
    <col min="3" max="3" width="31.453125" style="6" customWidth="1"/>
    <col min="4" max="4" width="42.453125" style="7" customWidth="1"/>
    <col min="5" max="5" width="12.36328125" style="6" customWidth="1"/>
    <col min="6" max="6" width="12.1796875" style="10" customWidth="1"/>
    <col min="7" max="7" width="16.81640625" style="6" customWidth="1"/>
    <col min="8" max="8" width="28.7265625" style="10" customWidth="1"/>
    <col min="9" max="9" width="20" style="10" customWidth="1"/>
    <col min="10" max="10" width="17.08984375" style="54" customWidth="1"/>
    <col min="11" max="11" width="18.81640625" style="6" customWidth="1"/>
    <col min="12" max="12" width="13.81640625" style="6" customWidth="1"/>
    <col min="13" max="13" width="29.90625" style="6" customWidth="1"/>
    <col min="14" max="14" width="29.81640625" style="6" customWidth="1"/>
    <col min="15" max="15" width="19.54296875" style="6" customWidth="1"/>
    <col min="16" max="16" width="41.36328125" style="10" bestFit="1" customWidth="1"/>
    <col min="17" max="16384" width="8.90625" style="6"/>
  </cols>
  <sheetData>
    <row r="1" spans="1:16" s="16" customFormat="1" ht="38" customHeight="1" x14ac:dyDescent="0.35">
      <c r="A1" s="14" t="s">
        <v>11</v>
      </c>
      <c r="B1" s="14" t="s">
        <v>3</v>
      </c>
      <c r="C1" s="14" t="s">
        <v>8</v>
      </c>
      <c r="D1" s="14" t="s">
        <v>7</v>
      </c>
      <c r="E1" s="14" t="s">
        <v>0</v>
      </c>
      <c r="F1" s="14" t="s">
        <v>5</v>
      </c>
      <c r="G1" s="15" t="s">
        <v>4</v>
      </c>
      <c r="H1" s="14" t="s">
        <v>9</v>
      </c>
      <c r="I1" s="14" t="s">
        <v>16</v>
      </c>
      <c r="J1" s="14" t="s">
        <v>17</v>
      </c>
      <c r="K1" s="14" t="s">
        <v>18</v>
      </c>
      <c r="L1" s="14" t="s">
        <v>10</v>
      </c>
      <c r="M1" s="14" t="s">
        <v>1</v>
      </c>
      <c r="N1" s="14" t="s">
        <v>2</v>
      </c>
      <c r="O1" s="14" t="s">
        <v>12</v>
      </c>
      <c r="P1" s="14" t="s">
        <v>13</v>
      </c>
    </row>
    <row r="2" spans="1:16" s="5" customFormat="1" ht="28" customHeight="1" x14ac:dyDescent="0.35">
      <c r="A2" s="21" t="s">
        <v>433</v>
      </c>
      <c r="B2" s="18" t="s">
        <v>408</v>
      </c>
      <c r="C2" s="21" t="s">
        <v>449</v>
      </c>
      <c r="D2" s="12" t="s">
        <v>440</v>
      </c>
      <c r="E2" s="2">
        <v>91792541</v>
      </c>
      <c r="F2" s="2" t="s">
        <v>15</v>
      </c>
      <c r="G2" s="3">
        <v>530</v>
      </c>
      <c r="H2" s="2" t="s">
        <v>81</v>
      </c>
      <c r="I2" s="2"/>
      <c r="J2" s="53" t="s">
        <v>475</v>
      </c>
      <c r="K2" s="2"/>
      <c r="L2" s="2" t="s">
        <v>418</v>
      </c>
      <c r="M2" s="12" t="s">
        <v>474</v>
      </c>
      <c r="N2" s="8" t="s">
        <v>472</v>
      </c>
      <c r="O2" s="2" t="s">
        <v>473</v>
      </c>
      <c r="P2" s="2" t="s">
        <v>453</v>
      </c>
    </row>
    <row r="3" spans="1:16" s="5" customFormat="1" ht="28" customHeight="1" x14ac:dyDescent="0.35">
      <c r="A3" s="21" t="s">
        <v>434</v>
      </c>
      <c r="B3" s="18" t="s">
        <v>408</v>
      </c>
      <c r="C3" s="18" t="s">
        <v>450</v>
      </c>
      <c r="D3" s="12" t="s">
        <v>441</v>
      </c>
      <c r="E3" s="12">
        <v>82015272</v>
      </c>
      <c r="F3" s="2" t="s">
        <v>15</v>
      </c>
      <c r="G3" s="3">
        <v>530</v>
      </c>
      <c r="H3" s="2" t="s">
        <v>81</v>
      </c>
      <c r="I3" s="2"/>
      <c r="J3" s="53" t="s">
        <v>475</v>
      </c>
      <c r="L3" s="2" t="s">
        <v>418</v>
      </c>
      <c r="M3" s="12" t="s">
        <v>474</v>
      </c>
      <c r="N3" s="8" t="s">
        <v>472</v>
      </c>
      <c r="O3" s="2" t="s">
        <v>473</v>
      </c>
      <c r="P3" s="2" t="s">
        <v>453</v>
      </c>
    </row>
    <row r="4" spans="1:16" s="5" customFormat="1" ht="29" customHeight="1" x14ac:dyDescent="0.35">
      <c r="A4" s="22" t="s">
        <v>435</v>
      </c>
      <c r="B4" s="18" t="s">
        <v>408</v>
      </c>
      <c r="C4" s="18" t="s">
        <v>451</v>
      </c>
      <c r="D4" s="12" t="s">
        <v>442</v>
      </c>
      <c r="E4" s="19">
        <v>90258014</v>
      </c>
      <c r="F4" s="2" t="s">
        <v>15</v>
      </c>
      <c r="G4" s="3">
        <v>530</v>
      </c>
      <c r="H4" s="2" t="s">
        <v>81</v>
      </c>
      <c r="I4" s="2"/>
      <c r="J4" s="53" t="s">
        <v>475</v>
      </c>
      <c r="K4" s="2"/>
      <c r="L4" s="2" t="s">
        <v>418</v>
      </c>
      <c r="M4" s="12" t="s">
        <v>474</v>
      </c>
      <c r="N4" s="8" t="s">
        <v>472</v>
      </c>
      <c r="O4" s="2" t="s">
        <v>473</v>
      </c>
      <c r="P4" s="2" t="s">
        <v>453</v>
      </c>
    </row>
    <row r="5" spans="1:16" s="5" customFormat="1" ht="29" customHeight="1" x14ac:dyDescent="0.35">
      <c r="A5" s="21" t="s">
        <v>436</v>
      </c>
      <c r="B5" s="18" t="s">
        <v>408</v>
      </c>
      <c r="C5" s="18" t="s">
        <v>450</v>
      </c>
      <c r="D5" s="12" t="s">
        <v>443</v>
      </c>
      <c r="E5" s="19">
        <v>92470779</v>
      </c>
      <c r="F5" s="2" t="s">
        <v>15</v>
      </c>
      <c r="G5" s="3">
        <v>530</v>
      </c>
      <c r="H5" s="2" t="s">
        <v>81</v>
      </c>
      <c r="I5" s="2"/>
      <c r="J5" s="53" t="s">
        <v>475</v>
      </c>
      <c r="K5" s="2"/>
      <c r="L5" s="2" t="s">
        <v>418</v>
      </c>
      <c r="M5" s="12" t="s">
        <v>474</v>
      </c>
      <c r="N5" s="8" t="s">
        <v>472</v>
      </c>
      <c r="O5" s="2" t="s">
        <v>473</v>
      </c>
      <c r="P5" s="2" t="s">
        <v>453</v>
      </c>
    </row>
    <row r="6" spans="1:16" s="5" customFormat="1" ht="29" customHeight="1" x14ac:dyDescent="0.35">
      <c r="A6" s="47" t="s">
        <v>437</v>
      </c>
      <c r="B6" s="18" t="s">
        <v>408</v>
      </c>
      <c r="C6" s="18" t="s">
        <v>452</v>
      </c>
      <c r="D6" s="12" t="s">
        <v>444</v>
      </c>
      <c r="E6" s="19" t="s">
        <v>447</v>
      </c>
      <c r="F6" s="2" t="s">
        <v>15</v>
      </c>
      <c r="G6" s="3">
        <v>530</v>
      </c>
      <c r="H6" s="2" t="s">
        <v>81</v>
      </c>
      <c r="I6" s="2"/>
      <c r="J6" s="53" t="s">
        <v>475</v>
      </c>
      <c r="K6" s="2"/>
      <c r="L6" s="2" t="s">
        <v>418</v>
      </c>
      <c r="M6" s="12" t="s">
        <v>474</v>
      </c>
      <c r="N6" s="8" t="s">
        <v>472</v>
      </c>
      <c r="O6" s="2" t="s">
        <v>473</v>
      </c>
      <c r="P6" s="2" t="s">
        <v>453</v>
      </c>
    </row>
    <row r="7" spans="1:16" s="5" customFormat="1" ht="29" customHeight="1" x14ac:dyDescent="0.35">
      <c r="A7" s="47" t="s">
        <v>438</v>
      </c>
      <c r="B7" s="18" t="s">
        <v>408</v>
      </c>
      <c r="C7" s="18" t="s">
        <v>449</v>
      </c>
      <c r="D7" s="12" t="s">
        <v>445</v>
      </c>
      <c r="E7" s="19" t="s">
        <v>448</v>
      </c>
      <c r="F7" s="2" t="s">
        <v>15</v>
      </c>
      <c r="G7" s="3">
        <v>530</v>
      </c>
      <c r="H7" s="2" t="s">
        <v>81</v>
      </c>
      <c r="I7" s="2"/>
      <c r="J7" s="53" t="s">
        <v>475</v>
      </c>
      <c r="K7" s="2"/>
      <c r="L7" s="2" t="s">
        <v>418</v>
      </c>
      <c r="M7" s="12" t="s">
        <v>474</v>
      </c>
      <c r="N7" s="8" t="s">
        <v>472</v>
      </c>
      <c r="O7" s="2" t="s">
        <v>473</v>
      </c>
      <c r="P7" s="2" t="s">
        <v>453</v>
      </c>
    </row>
    <row r="8" spans="1:16" s="5" customFormat="1" ht="29" customHeight="1" x14ac:dyDescent="0.35">
      <c r="A8" s="47" t="s">
        <v>439</v>
      </c>
      <c r="B8" s="18" t="s">
        <v>408</v>
      </c>
      <c r="C8" s="18" t="s">
        <v>449</v>
      </c>
      <c r="D8" s="12" t="s">
        <v>446</v>
      </c>
      <c r="E8" s="19">
        <v>91801963</v>
      </c>
      <c r="F8" s="2" t="s">
        <v>15</v>
      </c>
      <c r="G8" s="3">
        <v>530</v>
      </c>
      <c r="H8" s="2" t="s">
        <v>81</v>
      </c>
      <c r="I8" s="49"/>
      <c r="J8" s="53" t="s">
        <v>475</v>
      </c>
      <c r="K8" s="2"/>
      <c r="L8" s="2" t="s">
        <v>418</v>
      </c>
      <c r="M8" s="12" t="s">
        <v>474</v>
      </c>
      <c r="N8" s="8" t="s">
        <v>472</v>
      </c>
      <c r="O8" s="2" t="s">
        <v>473</v>
      </c>
      <c r="P8" s="2" t="s">
        <v>453</v>
      </c>
    </row>
    <row r="9" spans="1:16" s="5" customFormat="1" ht="29" customHeight="1" x14ac:dyDescent="0.35">
      <c r="A9" s="47" t="s">
        <v>454</v>
      </c>
      <c r="B9" s="46" t="s">
        <v>26</v>
      </c>
      <c r="C9" s="18" t="s">
        <v>455</v>
      </c>
      <c r="D9" s="12" t="s">
        <v>457</v>
      </c>
      <c r="E9" s="19" t="s">
        <v>456</v>
      </c>
      <c r="F9" s="1" t="s">
        <v>27</v>
      </c>
      <c r="G9" s="3"/>
      <c r="H9" s="1"/>
      <c r="I9" s="2"/>
      <c r="J9" s="53"/>
      <c r="K9" s="2"/>
      <c r="L9" s="2" t="s">
        <v>28</v>
      </c>
      <c r="M9" s="12" t="s">
        <v>28</v>
      </c>
      <c r="N9" s="4" t="s">
        <v>28</v>
      </c>
      <c r="O9" s="2" t="s">
        <v>28</v>
      </c>
      <c r="P9" s="2"/>
    </row>
    <row r="10" spans="1:16" s="5" customFormat="1" ht="29" customHeight="1" x14ac:dyDescent="0.35">
      <c r="A10" s="47" t="s">
        <v>460</v>
      </c>
      <c r="B10" s="46" t="s">
        <v>26</v>
      </c>
      <c r="C10" s="18" t="s">
        <v>459</v>
      </c>
      <c r="D10" s="12" t="s">
        <v>458</v>
      </c>
      <c r="E10" s="19" t="s">
        <v>461</v>
      </c>
      <c r="F10" s="1" t="s">
        <v>27</v>
      </c>
      <c r="G10" s="3"/>
      <c r="H10" s="1"/>
      <c r="I10" s="49"/>
      <c r="J10" s="53"/>
      <c r="K10" s="2"/>
      <c r="L10" s="2" t="s">
        <v>28</v>
      </c>
      <c r="M10" s="12" t="s">
        <v>28</v>
      </c>
      <c r="N10" s="4" t="s">
        <v>28</v>
      </c>
      <c r="O10" s="2" t="s">
        <v>28</v>
      </c>
      <c r="P10" s="2"/>
    </row>
    <row r="11" spans="1:16" s="5" customFormat="1" ht="29" customHeight="1" x14ac:dyDescent="0.35">
      <c r="A11" s="22" t="s">
        <v>463</v>
      </c>
      <c r="B11" s="18" t="s">
        <v>468</v>
      </c>
      <c r="C11" s="18" t="s">
        <v>467</v>
      </c>
      <c r="D11" s="12" t="s">
        <v>462</v>
      </c>
      <c r="E11" s="19"/>
      <c r="F11" s="2" t="s">
        <v>15</v>
      </c>
      <c r="G11" s="3">
        <v>530</v>
      </c>
      <c r="H11" s="2" t="s">
        <v>81</v>
      </c>
      <c r="I11" s="49"/>
      <c r="J11" s="53" t="s">
        <v>476</v>
      </c>
      <c r="K11" s="2"/>
      <c r="L11" s="2" t="s">
        <v>104</v>
      </c>
      <c r="M11" s="12" t="s">
        <v>109</v>
      </c>
      <c r="N11" s="4" t="s">
        <v>464</v>
      </c>
      <c r="O11" s="2" t="s">
        <v>465</v>
      </c>
      <c r="P11" s="2" t="s">
        <v>466</v>
      </c>
    </row>
    <row r="12" spans="1:16" s="5" customFormat="1" ht="29" customHeight="1" x14ac:dyDescent="0.35">
      <c r="A12" s="22" t="s">
        <v>470</v>
      </c>
      <c r="B12" s="18" t="s">
        <v>468</v>
      </c>
      <c r="C12" s="18" t="s">
        <v>471</v>
      </c>
      <c r="D12" s="12" t="s">
        <v>469</v>
      </c>
      <c r="E12" s="19"/>
      <c r="F12" s="2" t="s">
        <v>15</v>
      </c>
      <c r="G12" s="3">
        <v>530</v>
      </c>
      <c r="H12" s="2" t="s">
        <v>81</v>
      </c>
      <c r="I12" s="49"/>
      <c r="J12" s="53" t="s">
        <v>476</v>
      </c>
      <c r="K12" s="2"/>
      <c r="L12" s="2" t="s">
        <v>104</v>
      </c>
      <c r="M12" s="12" t="s">
        <v>109</v>
      </c>
      <c r="N12" s="4" t="s">
        <v>464</v>
      </c>
      <c r="O12" s="2" t="s">
        <v>465</v>
      </c>
      <c r="P12" s="2" t="s">
        <v>466</v>
      </c>
    </row>
    <row r="13" spans="1:16" ht="29" customHeight="1" x14ac:dyDescent="0.35">
      <c r="A13" s="30" t="s">
        <v>14</v>
      </c>
      <c r="B13" s="31">
        <f>COUNTA(A2:A12)</f>
        <v>11</v>
      </c>
      <c r="C13" s="32"/>
      <c r="D13" s="33"/>
      <c r="E13" s="34"/>
      <c r="F13" s="35" t="s">
        <v>14</v>
      </c>
      <c r="G13" s="36">
        <f>SUM(G2:G12)</f>
        <v>4770</v>
      </c>
      <c r="H13" s="9"/>
      <c r="I13" s="9"/>
      <c r="K13" s="7"/>
      <c r="L13" s="9"/>
      <c r="M13" s="39"/>
      <c r="N13" s="37"/>
      <c r="O13" s="7"/>
      <c r="P13" s="9"/>
    </row>
    <row r="14" spans="1:16" s="27" customFormat="1" ht="29.5" customHeight="1" x14ac:dyDescent="0.35">
      <c r="A14" s="23"/>
      <c r="B14" s="24"/>
      <c r="C14" s="59" t="s">
        <v>308</v>
      </c>
      <c r="D14" s="58"/>
      <c r="E14" s="25"/>
      <c r="F14" s="28"/>
      <c r="G14" s="29"/>
      <c r="H14" s="11"/>
      <c r="I14" s="11"/>
      <c r="J14" s="55"/>
      <c r="K14" s="5"/>
      <c r="L14" s="11"/>
      <c r="M14" s="13"/>
      <c r="N14" s="26"/>
      <c r="O14" s="5"/>
      <c r="P14" s="11"/>
    </row>
    <row r="15" spans="1:16" s="27" customFormat="1" ht="29" customHeight="1" x14ac:dyDescent="0.35">
      <c r="A15" s="44" t="s">
        <v>19</v>
      </c>
      <c r="B15" s="24"/>
      <c r="C15" s="24"/>
      <c r="D15" s="13"/>
      <c r="E15" s="25"/>
      <c r="F15" s="28"/>
      <c r="G15" s="29"/>
      <c r="H15" s="11"/>
      <c r="I15" s="11"/>
      <c r="J15" s="55"/>
      <c r="K15" s="5"/>
      <c r="L15" s="11"/>
      <c r="M15" s="13"/>
      <c r="N15" s="26"/>
      <c r="O15" s="5"/>
      <c r="P15" s="11"/>
    </row>
    <row r="16" spans="1:16" s="5" customFormat="1" ht="29" customHeight="1" x14ac:dyDescent="0.35">
      <c r="A16" s="21"/>
      <c r="B16" s="18"/>
      <c r="C16" s="18"/>
      <c r="D16" s="12"/>
      <c r="E16" s="19"/>
      <c r="F16" s="2"/>
      <c r="G16" s="3"/>
      <c r="H16" s="2"/>
      <c r="I16" s="2"/>
      <c r="J16" s="53"/>
      <c r="K16" s="2"/>
      <c r="L16" s="1"/>
      <c r="M16" s="12"/>
      <c r="N16" s="8"/>
      <c r="O16" s="2"/>
      <c r="P16" s="2"/>
    </row>
    <row r="17" spans="1:16" s="5" customFormat="1" ht="29" customHeight="1" x14ac:dyDescent="0.35">
      <c r="A17" s="22"/>
      <c r="B17" s="18"/>
      <c r="C17" s="18"/>
      <c r="D17" s="12"/>
      <c r="E17" s="19"/>
      <c r="F17" s="2"/>
      <c r="G17" s="3"/>
      <c r="H17" s="2"/>
      <c r="I17" s="2"/>
      <c r="J17" s="53"/>
      <c r="K17" s="2"/>
      <c r="L17" s="2"/>
      <c r="M17" s="12"/>
      <c r="N17" s="8"/>
      <c r="O17" s="2"/>
      <c r="P17" s="2"/>
    </row>
    <row r="18" spans="1:16" s="5" customFormat="1" ht="29" customHeight="1" x14ac:dyDescent="0.35">
      <c r="A18" s="41"/>
      <c r="B18" s="42"/>
      <c r="C18" s="42"/>
      <c r="D18" s="38"/>
      <c r="E18" s="40"/>
      <c r="G18" s="29"/>
      <c r="J18" s="56"/>
      <c r="M18" s="38"/>
      <c r="N18" s="43"/>
    </row>
    <row r="19" spans="1:16" ht="30" customHeight="1" x14ac:dyDescent="0.35">
      <c r="A19" s="45" t="s">
        <v>20</v>
      </c>
    </row>
    <row r="20" spans="1:16" s="5" customFormat="1" ht="29" customHeight="1" x14ac:dyDescent="0.35">
      <c r="A20" s="21"/>
      <c r="B20" s="18"/>
      <c r="C20" s="18"/>
      <c r="D20" s="12"/>
      <c r="E20" s="19"/>
      <c r="F20" s="1"/>
      <c r="G20" s="3"/>
      <c r="H20" s="2"/>
      <c r="I20" s="2"/>
      <c r="J20" s="53"/>
      <c r="K20" s="2"/>
      <c r="L20" s="1"/>
      <c r="M20" s="12"/>
      <c r="N20" s="8"/>
      <c r="O20" s="2"/>
      <c r="P20" s="2"/>
    </row>
    <row r="21" spans="1:16" s="5" customFormat="1" ht="29" customHeight="1" x14ac:dyDescent="0.35">
      <c r="A21" s="47"/>
      <c r="B21" s="46"/>
      <c r="C21" s="47"/>
      <c r="D21" s="47"/>
      <c r="E21" s="48"/>
      <c r="F21" s="2"/>
      <c r="G21" s="3"/>
      <c r="H21" s="1"/>
      <c r="I21" s="2"/>
      <c r="J21" s="53"/>
      <c r="K21" s="2"/>
      <c r="L21" s="2"/>
      <c r="M21" s="12"/>
      <c r="N21" s="4"/>
      <c r="O21" s="2"/>
      <c r="P21" s="1"/>
    </row>
    <row r="22" spans="1:16" s="5" customFormat="1" ht="29" customHeight="1" x14ac:dyDescent="0.35">
      <c r="A22" s="22"/>
      <c r="B22" s="18"/>
      <c r="C22" s="18"/>
      <c r="D22" s="12"/>
      <c r="E22" s="19"/>
      <c r="F22" s="1"/>
      <c r="G22" s="3"/>
      <c r="H22" s="2"/>
      <c r="I22" s="2"/>
      <c r="J22" s="53"/>
      <c r="K22" s="2"/>
      <c r="L22" s="2"/>
      <c r="M22" s="12"/>
      <c r="N22" s="8"/>
      <c r="O22" s="2"/>
      <c r="P22" s="1"/>
    </row>
    <row r="23" spans="1:16" s="5" customFormat="1" ht="29" customHeight="1" x14ac:dyDescent="0.35">
      <c r="A23" s="22"/>
      <c r="B23" s="18"/>
      <c r="C23" s="18"/>
      <c r="D23" s="12"/>
      <c r="E23" s="19"/>
      <c r="F23" s="2"/>
      <c r="G23" s="3"/>
      <c r="H23" s="2"/>
      <c r="I23" s="2"/>
      <c r="J23" s="53"/>
      <c r="K23" s="2"/>
      <c r="L23" s="2"/>
      <c r="M23" s="12"/>
      <c r="N23" s="8"/>
      <c r="O23" s="2"/>
      <c r="P23" s="1"/>
    </row>
    <row r="24" spans="1:16" s="5" customFormat="1" ht="29" customHeight="1" x14ac:dyDescent="0.35">
      <c r="A24" s="22"/>
      <c r="B24" s="18"/>
      <c r="C24" s="18"/>
      <c r="D24" s="12"/>
      <c r="E24" s="19"/>
      <c r="F24" s="2"/>
      <c r="G24" s="3"/>
      <c r="H24" s="2"/>
      <c r="I24" s="2"/>
      <c r="J24" s="53"/>
      <c r="K24" s="2"/>
      <c r="L24" s="2"/>
      <c r="M24" s="12"/>
      <c r="N24" s="8"/>
      <c r="O24" s="2"/>
      <c r="P24" s="1"/>
    </row>
  </sheetData>
  <pageMargins left="0.7" right="0.7" top="0.75" bottom="0.75" header="0.3" footer="0.3"/>
  <pageSetup paperSize="9" scale="7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CA8E2-7A20-4CFB-92E9-AC3D8C82E654}">
  <dimension ref="A1:P24"/>
  <sheetViews>
    <sheetView tabSelected="1" zoomScale="80" zoomScaleNormal="80" workbookViewId="0">
      <selection activeCell="C7" sqref="C7"/>
    </sheetView>
  </sheetViews>
  <sheetFormatPr defaultColWidth="8.90625" defaultRowHeight="30" customHeight="1" x14ac:dyDescent="0.35"/>
  <cols>
    <col min="1" max="1" width="40.36328125" style="6" customWidth="1"/>
    <col min="2" max="2" width="24.453125" style="6" customWidth="1"/>
    <col min="3" max="3" width="31.453125" style="6" customWidth="1"/>
    <col min="4" max="4" width="42.453125" style="7" customWidth="1"/>
    <col min="5" max="5" width="12.36328125" style="6" customWidth="1"/>
    <col min="6" max="6" width="12.1796875" style="10" customWidth="1"/>
    <col min="7" max="7" width="16.81640625" style="6" customWidth="1"/>
    <col min="8" max="8" width="28.7265625" style="10" customWidth="1"/>
    <col min="9" max="9" width="20" style="10" customWidth="1"/>
    <col min="10" max="10" width="17.08984375" style="54" customWidth="1"/>
    <col min="11" max="11" width="18.81640625" style="6" customWidth="1"/>
    <col min="12" max="12" width="13.81640625" style="6" customWidth="1"/>
    <col min="13" max="13" width="29.90625" style="6" customWidth="1"/>
    <col min="14" max="14" width="29.81640625" style="6" customWidth="1"/>
    <col min="15" max="15" width="19.54296875" style="6" customWidth="1"/>
    <col min="16" max="16" width="41.36328125" style="10" bestFit="1" customWidth="1"/>
    <col min="17" max="16384" width="8.90625" style="6"/>
  </cols>
  <sheetData>
    <row r="1" spans="1:16" s="16" customFormat="1" ht="38" customHeight="1" x14ac:dyDescent="0.35">
      <c r="A1" s="14" t="s">
        <v>11</v>
      </c>
      <c r="B1" s="14" t="s">
        <v>3</v>
      </c>
      <c r="C1" s="14" t="s">
        <v>8</v>
      </c>
      <c r="D1" s="14" t="s">
        <v>7</v>
      </c>
      <c r="E1" s="14" t="s">
        <v>0</v>
      </c>
      <c r="F1" s="14" t="s">
        <v>5</v>
      </c>
      <c r="G1" s="15" t="s">
        <v>4</v>
      </c>
      <c r="H1" s="14" t="s">
        <v>9</v>
      </c>
      <c r="I1" s="14" t="s">
        <v>16</v>
      </c>
      <c r="J1" s="14" t="s">
        <v>17</v>
      </c>
      <c r="K1" s="14" t="s">
        <v>18</v>
      </c>
      <c r="L1" s="14" t="s">
        <v>10</v>
      </c>
      <c r="M1" s="14" t="s">
        <v>1</v>
      </c>
      <c r="N1" s="14" t="s">
        <v>2</v>
      </c>
      <c r="O1" s="14" t="s">
        <v>12</v>
      </c>
      <c r="P1" s="14" t="s">
        <v>13</v>
      </c>
    </row>
    <row r="2" spans="1:16" s="5" customFormat="1" ht="28" customHeight="1" x14ac:dyDescent="0.35">
      <c r="A2" s="21" t="s">
        <v>477</v>
      </c>
      <c r="B2" s="18" t="s">
        <v>482</v>
      </c>
      <c r="C2" s="21"/>
      <c r="D2" s="52" t="s">
        <v>488</v>
      </c>
      <c r="E2" s="2"/>
      <c r="F2" s="2" t="s">
        <v>15</v>
      </c>
      <c r="G2" s="3">
        <v>530</v>
      </c>
      <c r="H2" s="2" t="s">
        <v>81</v>
      </c>
      <c r="I2" s="2"/>
      <c r="J2" s="53"/>
      <c r="K2" s="2"/>
      <c r="L2" s="2" t="s">
        <v>486</v>
      </c>
      <c r="M2" s="12" t="s">
        <v>484</v>
      </c>
      <c r="N2" s="65" t="s">
        <v>483</v>
      </c>
      <c r="O2" s="2"/>
      <c r="P2" s="1" t="s">
        <v>485</v>
      </c>
    </row>
    <row r="3" spans="1:16" s="5" customFormat="1" ht="28" customHeight="1" x14ac:dyDescent="0.35">
      <c r="A3" s="21" t="s">
        <v>478</v>
      </c>
      <c r="B3" s="18" t="s">
        <v>482</v>
      </c>
      <c r="C3" s="18"/>
      <c r="D3" s="52" t="s">
        <v>490</v>
      </c>
      <c r="E3" s="12"/>
      <c r="F3" s="2" t="s">
        <v>15</v>
      </c>
      <c r="G3" s="3">
        <v>530</v>
      </c>
      <c r="H3" s="2" t="s">
        <v>81</v>
      </c>
      <c r="I3" s="2"/>
      <c r="J3" s="53"/>
      <c r="L3" s="2" t="s">
        <v>486</v>
      </c>
      <c r="M3" s="12" t="s">
        <v>484</v>
      </c>
      <c r="N3" s="65" t="s">
        <v>483</v>
      </c>
      <c r="O3" s="2"/>
      <c r="P3" s="1" t="s">
        <v>485</v>
      </c>
    </row>
    <row r="4" spans="1:16" s="5" customFormat="1" ht="29" customHeight="1" x14ac:dyDescent="0.35">
      <c r="A4" s="22" t="s">
        <v>479</v>
      </c>
      <c r="B4" s="18" t="s">
        <v>482</v>
      </c>
      <c r="C4" s="18"/>
      <c r="D4" s="52" t="s">
        <v>487</v>
      </c>
      <c r="E4" s="19"/>
      <c r="F4" s="2" t="s">
        <v>15</v>
      </c>
      <c r="G4" s="3">
        <v>530</v>
      </c>
      <c r="H4" s="2" t="s">
        <v>81</v>
      </c>
      <c r="I4" s="2"/>
      <c r="J4" s="53"/>
      <c r="K4" s="2"/>
      <c r="L4" s="2" t="s">
        <v>486</v>
      </c>
      <c r="M4" s="12" t="s">
        <v>484</v>
      </c>
      <c r="N4" s="65" t="s">
        <v>483</v>
      </c>
      <c r="O4" s="2"/>
      <c r="P4" s="1" t="s">
        <v>485</v>
      </c>
    </row>
    <row r="5" spans="1:16" s="5" customFormat="1" ht="29" customHeight="1" x14ac:dyDescent="0.35">
      <c r="A5" s="21" t="s">
        <v>480</v>
      </c>
      <c r="B5" s="18" t="s">
        <v>482</v>
      </c>
      <c r="C5" s="18"/>
      <c r="D5" s="52" t="s">
        <v>489</v>
      </c>
      <c r="E5" s="19"/>
      <c r="F5" s="2" t="s">
        <v>15</v>
      </c>
      <c r="G5" s="3">
        <v>530</v>
      </c>
      <c r="H5" s="2" t="s">
        <v>81</v>
      </c>
      <c r="I5" s="2"/>
      <c r="J5" s="53"/>
      <c r="K5" s="2"/>
      <c r="L5" s="2" t="s">
        <v>486</v>
      </c>
      <c r="M5" s="12" t="s">
        <v>484</v>
      </c>
      <c r="N5" s="65" t="s">
        <v>483</v>
      </c>
      <c r="O5" s="2"/>
      <c r="P5" s="1" t="s">
        <v>485</v>
      </c>
    </row>
    <row r="6" spans="1:16" s="5" customFormat="1" ht="29" customHeight="1" x14ac:dyDescent="0.35">
      <c r="A6" s="47" t="s">
        <v>481</v>
      </c>
      <c r="B6" s="18" t="s">
        <v>482</v>
      </c>
      <c r="C6" s="18"/>
      <c r="D6" s="52" t="s">
        <v>491</v>
      </c>
      <c r="E6" s="19"/>
      <c r="F6" s="2" t="s">
        <v>15</v>
      </c>
      <c r="G6" s="3">
        <v>530</v>
      </c>
      <c r="H6" s="2" t="s">
        <v>81</v>
      </c>
      <c r="I6" s="2"/>
      <c r="J6" s="53"/>
      <c r="K6" s="2"/>
      <c r="L6" s="2" t="s">
        <v>486</v>
      </c>
      <c r="M6" s="12" t="s">
        <v>484</v>
      </c>
      <c r="N6" s="65" t="s">
        <v>483</v>
      </c>
      <c r="O6" s="2"/>
      <c r="P6" s="1" t="s">
        <v>485</v>
      </c>
    </row>
    <row r="7" spans="1:16" s="5" customFormat="1" ht="29" customHeight="1" x14ac:dyDescent="0.35">
      <c r="A7" s="47"/>
      <c r="B7" s="18"/>
      <c r="C7" s="18"/>
      <c r="D7" s="12"/>
      <c r="E7" s="19"/>
      <c r="F7" s="2"/>
      <c r="G7" s="3"/>
      <c r="H7" s="2"/>
      <c r="I7" s="2"/>
      <c r="J7" s="53"/>
      <c r="K7" s="2"/>
      <c r="L7" s="2"/>
      <c r="M7" s="12"/>
      <c r="N7" s="8"/>
      <c r="O7" s="2"/>
      <c r="P7" s="2"/>
    </row>
    <row r="8" spans="1:16" s="5" customFormat="1" ht="29" customHeight="1" x14ac:dyDescent="0.35">
      <c r="A8" s="47"/>
      <c r="B8" s="18"/>
      <c r="C8" s="18"/>
      <c r="D8" s="12"/>
      <c r="E8" s="19"/>
      <c r="F8" s="2"/>
      <c r="G8" s="3"/>
      <c r="H8" s="2"/>
      <c r="I8" s="49"/>
      <c r="J8" s="53"/>
      <c r="K8" s="2"/>
      <c r="L8" s="2"/>
      <c r="M8" s="12"/>
      <c r="N8" s="8"/>
      <c r="O8" s="2"/>
      <c r="P8" s="2"/>
    </row>
    <row r="9" spans="1:16" s="5" customFormat="1" ht="29" customHeight="1" x14ac:dyDescent="0.35">
      <c r="A9" s="47"/>
      <c r="B9" s="46"/>
      <c r="C9" s="18"/>
      <c r="D9" s="12"/>
      <c r="E9" s="19"/>
      <c r="F9" s="1"/>
      <c r="G9" s="3"/>
      <c r="H9" s="1"/>
      <c r="I9" s="2"/>
      <c r="J9" s="53"/>
      <c r="K9" s="2"/>
      <c r="L9" s="2"/>
      <c r="M9" s="12"/>
      <c r="N9" s="4"/>
      <c r="O9" s="2"/>
      <c r="P9" s="2"/>
    </row>
    <row r="10" spans="1:16" s="5" customFormat="1" ht="29" customHeight="1" x14ac:dyDescent="0.35">
      <c r="A10" s="47"/>
      <c r="B10" s="46"/>
      <c r="C10" s="18"/>
      <c r="D10" s="12"/>
      <c r="E10" s="19"/>
      <c r="F10" s="1"/>
      <c r="G10" s="3"/>
      <c r="H10" s="1"/>
      <c r="I10" s="49"/>
      <c r="J10" s="53"/>
      <c r="K10" s="2"/>
      <c r="L10" s="2"/>
      <c r="M10" s="12"/>
      <c r="N10" s="4"/>
      <c r="O10" s="2"/>
      <c r="P10" s="2"/>
    </row>
    <row r="11" spans="1:16" s="5" customFormat="1" ht="29" customHeight="1" x14ac:dyDescent="0.35">
      <c r="A11" s="22"/>
      <c r="B11" s="18"/>
      <c r="C11" s="18"/>
      <c r="D11" s="12"/>
      <c r="E11" s="19"/>
      <c r="F11" s="2"/>
      <c r="G11" s="3"/>
      <c r="H11" s="2"/>
      <c r="I11" s="49"/>
      <c r="J11" s="53"/>
      <c r="K11" s="2"/>
      <c r="L11" s="2"/>
      <c r="M11" s="12"/>
      <c r="N11" s="4"/>
      <c r="O11" s="2"/>
      <c r="P11" s="2"/>
    </row>
    <row r="12" spans="1:16" s="5" customFormat="1" ht="29" customHeight="1" x14ac:dyDescent="0.35">
      <c r="A12" s="22"/>
      <c r="B12" s="18"/>
      <c r="C12" s="18"/>
      <c r="D12" s="12"/>
      <c r="E12" s="19"/>
      <c r="F12" s="2"/>
      <c r="G12" s="3"/>
      <c r="H12" s="2"/>
      <c r="I12" s="49"/>
      <c r="J12" s="53"/>
      <c r="K12" s="2"/>
      <c r="L12" s="2"/>
      <c r="M12" s="12"/>
      <c r="N12" s="4"/>
      <c r="O12" s="2"/>
      <c r="P12" s="2"/>
    </row>
    <row r="13" spans="1:16" ht="29" customHeight="1" x14ac:dyDescent="0.35">
      <c r="A13" s="30" t="s">
        <v>14</v>
      </c>
      <c r="B13" s="31">
        <f>COUNTA(A2:A12)</f>
        <v>5</v>
      </c>
      <c r="C13" s="32"/>
      <c r="D13" s="33"/>
      <c r="E13" s="34"/>
      <c r="F13" s="35" t="s">
        <v>14</v>
      </c>
      <c r="G13" s="36">
        <f>SUM(G2:G12)</f>
        <v>2650</v>
      </c>
      <c r="H13" s="9"/>
      <c r="I13" s="9"/>
      <c r="K13" s="7"/>
      <c r="L13" s="9"/>
      <c r="M13" s="39"/>
      <c r="N13" s="37"/>
      <c r="O13" s="7"/>
      <c r="P13" s="9"/>
    </row>
    <row r="14" spans="1:16" s="27" customFormat="1" ht="29.5" customHeight="1" x14ac:dyDescent="0.35">
      <c r="A14" s="23"/>
      <c r="B14" s="24"/>
      <c r="C14" s="59" t="s">
        <v>308</v>
      </c>
      <c r="D14" s="58"/>
      <c r="E14" s="25"/>
      <c r="F14" s="28"/>
      <c r="G14" s="29"/>
      <c r="H14" s="11"/>
      <c r="I14" s="11"/>
      <c r="J14" s="55"/>
      <c r="K14" s="5"/>
      <c r="L14" s="11"/>
      <c r="M14" s="13"/>
      <c r="N14" s="26"/>
      <c r="O14" s="5"/>
      <c r="P14" s="11"/>
    </row>
    <row r="15" spans="1:16" s="27" customFormat="1" ht="29" customHeight="1" x14ac:dyDescent="0.35">
      <c r="A15" s="44" t="s">
        <v>19</v>
      </c>
      <c r="B15" s="24"/>
      <c r="C15" s="24"/>
      <c r="D15" s="13"/>
      <c r="E15" s="25"/>
      <c r="F15" s="28"/>
      <c r="G15" s="29"/>
      <c r="H15" s="11"/>
      <c r="I15" s="11"/>
      <c r="J15" s="55"/>
      <c r="K15" s="5"/>
      <c r="L15" s="11"/>
      <c r="M15" s="13"/>
      <c r="N15" s="26"/>
      <c r="O15" s="5"/>
      <c r="P15" s="11"/>
    </row>
    <row r="16" spans="1:16" s="5" customFormat="1" ht="29" customHeight="1" x14ac:dyDescent="0.35">
      <c r="A16" s="21"/>
      <c r="B16" s="18"/>
      <c r="C16" s="18"/>
      <c r="D16" s="12"/>
      <c r="E16" s="19"/>
      <c r="F16" s="2"/>
      <c r="G16" s="3"/>
      <c r="H16" s="2"/>
      <c r="I16" s="2"/>
      <c r="J16" s="53"/>
      <c r="K16" s="2"/>
      <c r="L16" s="1"/>
      <c r="M16" s="12"/>
      <c r="N16" s="8"/>
      <c r="O16" s="2"/>
      <c r="P16" s="2"/>
    </row>
    <row r="17" spans="1:16" s="5" customFormat="1" ht="29" customHeight="1" x14ac:dyDescent="0.35">
      <c r="A17" s="22"/>
      <c r="B17" s="18"/>
      <c r="C17" s="18"/>
      <c r="D17" s="12"/>
      <c r="E17" s="19"/>
      <c r="F17" s="2"/>
      <c r="G17" s="3"/>
      <c r="H17" s="2"/>
      <c r="I17" s="2"/>
      <c r="J17" s="53"/>
      <c r="K17" s="2"/>
      <c r="L17" s="2"/>
      <c r="M17" s="12"/>
      <c r="N17" s="8"/>
      <c r="O17" s="2"/>
      <c r="P17" s="2"/>
    </row>
    <row r="18" spans="1:16" s="5" customFormat="1" ht="29" customHeight="1" x14ac:dyDescent="0.35">
      <c r="A18" s="41"/>
      <c r="B18" s="42"/>
      <c r="C18" s="42"/>
      <c r="D18" s="38"/>
      <c r="E18" s="40"/>
      <c r="G18" s="29"/>
      <c r="J18" s="56"/>
      <c r="M18" s="38"/>
      <c r="N18" s="43"/>
    </row>
    <row r="19" spans="1:16" ht="30" customHeight="1" x14ac:dyDescent="0.35">
      <c r="A19" s="45" t="s">
        <v>20</v>
      </c>
    </row>
    <row r="20" spans="1:16" s="5" customFormat="1" ht="29" customHeight="1" x14ac:dyDescent="0.35">
      <c r="A20" s="21"/>
      <c r="B20" s="18"/>
      <c r="C20" s="18"/>
      <c r="D20" s="12"/>
      <c r="E20" s="19"/>
      <c r="F20" s="1"/>
      <c r="G20" s="3"/>
      <c r="H20" s="2"/>
      <c r="I20" s="2"/>
      <c r="J20" s="53"/>
      <c r="K20" s="2"/>
      <c r="L20" s="1"/>
      <c r="M20" s="12"/>
      <c r="N20" s="8"/>
      <c r="O20" s="2"/>
      <c r="P20" s="2"/>
    </row>
    <row r="21" spans="1:16" s="5" customFormat="1" ht="29" customHeight="1" x14ac:dyDescent="0.35">
      <c r="A21" s="47"/>
      <c r="B21" s="46"/>
      <c r="C21" s="47"/>
      <c r="D21" s="47"/>
      <c r="E21" s="48"/>
      <c r="F21" s="2"/>
      <c r="G21" s="3"/>
      <c r="H21" s="1"/>
      <c r="I21" s="2"/>
      <c r="J21" s="53"/>
      <c r="K21" s="2"/>
      <c r="L21" s="2"/>
      <c r="M21" s="12"/>
      <c r="N21" s="4"/>
      <c r="O21" s="2"/>
      <c r="P21" s="1"/>
    </row>
    <row r="22" spans="1:16" s="5" customFormat="1" ht="29" customHeight="1" x14ac:dyDescent="0.35">
      <c r="A22" s="22"/>
      <c r="B22" s="18"/>
      <c r="C22" s="18"/>
      <c r="D22" s="12"/>
      <c r="E22" s="19"/>
      <c r="F22" s="1"/>
      <c r="G22" s="3"/>
      <c r="H22" s="2"/>
      <c r="I22" s="2"/>
      <c r="J22" s="53"/>
      <c r="K22" s="2"/>
      <c r="L22" s="2"/>
      <c r="M22" s="12"/>
      <c r="N22" s="8"/>
      <c r="O22" s="2"/>
      <c r="P22" s="1"/>
    </row>
    <row r="23" spans="1:16" s="5" customFormat="1" ht="29" customHeight="1" x14ac:dyDescent="0.35">
      <c r="A23" s="22"/>
      <c r="B23" s="18"/>
      <c r="C23" s="18"/>
      <c r="D23" s="12"/>
      <c r="E23" s="19"/>
      <c r="F23" s="2"/>
      <c r="G23" s="3"/>
      <c r="H23" s="2"/>
      <c r="I23" s="2"/>
      <c r="J23" s="53"/>
      <c r="K23" s="2"/>
      <c r="L23" s="2"/>
      <c r="M23" s="12"/>
      <c r="N23" s="8"/>
      <c r="O23" s="2"/>
      <c r="P23" s="1"/>
    </row>
    <row r="24" spans="1:16" s="5" customFormat="1" ht="29" customHeight="1" x14ac:dyDescent="0.35">
      <c r="A24" s="22"/>
      <c r="B24" s="18"/>
      <c r="C24" s="18"/>
      <c r="D24" s="12"/>
      <c r="E24" s="19"/>
      <c r="F24" s="2"/>
      <c r="G24" s="3"/>
      <c r="H24" s="2"/>
      <c r="I24" s="2"/>
      <c r="J24" s="53"/>
      <c r="K24" s="2"/>
      <c r="L24" s="2"/>
      <c r="M24" s="12"/>
      <c r="N24" s="8"/>
      <c r="O24" s="2"/>
      <c r="P24" s="1"/>
    </row>
  </sheetData>
  <hyperlinks>
    <hyperlink ref="N2" r:id="rId1" xr:uid="{2C1B0920-E9A5-4D89-ABB7-507DC2F6A781}"/>
    <hyperlink ref="N3" r:id="rId2" xr:uid="{3DB11709-372E-435D-A6AB-1AADF3E1A946}"/>
    <hyperlink ref="N4" r:id="rId3" xr:uid="{E3D310C4-E2F6-4138-ABAF-3D8C5FE55681}"/>
    <hyperlink ref="N5" r:id="rId4" xr:uid="{638FEBEB-4FFA-402D-B04E-756410C02874}"/>
    <hyperlink ref="N6" r:id="rId5" xr:uid="{DE401C76-4389-49F2-8BEA-C92AD9014122}"/>
    <hyperlink ref="D4" r:id="rId6" xr:uid="{02D263CF-BCF4-4A84-8E36-0B855BA8F65B}"/>
    <hyperlink ref="D2" r:id="rId7" xr:uid="{EE588419-3BA3-480F-BD87-1E01A6759AE4}"/>
    <hyperlink ref="D5" r:id="rId8" xr:uid="{40D3FE25-7230-4E2B-889A-2E7369D7061E}"/>
    <hyperlink ref="D3" r:id="rId9" xr:uid="{0FF01A08-E7B6-479E-BF38-34476AE2EAE4}"/>
    <hyperlink ref="D6" r:id="rId10" xr:uid="{D5C6010D-4CBD-4C1E-BE37-DEC1EE27B8D2}"/>
  </hyperlinks>
  <pageMargins left="0.7" right="0.7" top="0.75" bottom="0.75" header="0.3" footer="0.3"/>
  <pageSetup paperSize="9" scale="70" orientation="landscape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5Jun25</vt:lpstr>
      <vt:lpstr>20Aug25</vt:lpstr>
      <vt:lpstr>29Oct25</vt:lpstr>
      <vt:lpstr>3Dec25</vt:lpstr>
      <vt:lpstr>4Feb26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</dc:creator>
  <cp:lastModifiedBy>Woo Chun Hua</cp:lastModifiedBy>
  <cp:lastPrinted>2023-07-10T07:34:12Z</cp:lastPrinted>
  <dcterms:created xsi:type="dcterms:W3CDTF">2021-10-08T07:56:28Z</dcterms:created>
  <dcterms:modified xsi:type="dcterms:W3CDTF">2025-12-15T10:17:01Z</dcterms:modified>
</cp:coreProperties>
</file>